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filterPrivacy="1" codeName="ThisWorkbook" defaultThemeVersion="124226"/>
  <xr:revisionPtr revIDLastSave="0" documentId="13_ncr:1_{9F85DE76-1CA6-4021-A7EF-CBC8041DBE67}" xr6:coauthVersionLast="47" xr6:coauthVersionMax="47" xr10:uidLastSave="{00000000-0000-0000-0000-000000000000}"/>
  <bookViews>
    <workbookView xWindow="28680" yWindow="-165" windowWidth="29040" windowHeight="15720" xr2:uid="{00000000-000D-0000-FFFF-FFFF00000000}"/>
  </bookViews>
  <sheets>
    <sheet name="Candidat 1" sheetId="20"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5" i="20" l="1"/>
  <c r="I14" i="20"/>
  <c r="I13" i="20"/>
  <c r="I17" i="20" l="1"/>
  <c r="I16" i="20"/>
  <c r="I12" i="20"/>
  <c r="I11" i="20"/>
  <c r="I10" i="20"/>
  <c r="I18" i="20" l="1"/>
</calcChain>
</file>

<file path=xl/sharedStrings.xml><?xml version="1.0" encoding="utf-8"?>
<sst xmlns="http://schemas.openxmlformats.org/spreadsheetml/2006/main" count="19" uniqueCount="19">
  <si>
    <t>Points</t>
  </si>
  <si>
    <r>
      <rPr>
        <b/>
        <sz val="12"/>
        <color theme="1"/>
        <rFont val="Calibri"/>
        <family val="2"/>
        <scheme val="minor"/>
      </rPr>
      <t>C02 - Présenter et expliquer une situatin de contradiction technique à résoudre ou résolue et les protocoles d'epérimentation et de validation associés en LV1 - 2 points</t>
    </r>
    <r>
      <rPr>
        <sz val="12"/>
        <color theme="1"/>
        <rFont val="Calibri"/>
        <family val="2"/>
        <scheme val="minor"/>
      </rPr>
      <t xml:space="preserve">                                                                                                                                                               Identifier une situation de contradiction ou d'évolution technique, ses paramètres caractéristiques nécessitant la mise en oeuvre d'une démarche de créativité ou de résolution de problèmes. Proposer et justifier des pistes de recherche de solutions techniques à l'aide d'outils méthodologiques et présenter les protocoles d'expérimentation et de validation</t>
    </r>
  </si>
  <si>
    <r>
      <t xml:space="preserve">C01 - Comprendre, identifier et présenter les enjeux techniques et culturels du projet en LV1 : 1 - 1,5 points                                                                                                                                     </t>
    </r>
    <r>
      <rPr>
        <sz val="12"/>
        <color theme="1"/>
        <rFont val="Calibri"/>
        <family val="2"/>
        <scheme val="minor"/>
      </rPr>
      <t xml:space="preserve">A partir du CDC du projet, identifier les besoins nécessitant une réflexion approfondie sur les enjeux techniques et/ou impacts sociétaux. Justifier les contraintes d'ergonomie, et d'effets sur la santé de l'homme et du vivant ainsi que les impacts d'une idée, d'une solution, d'un principe, ou d'un projet en termes de développement durable. </t>
    </r>
  </si>
  <si>
    <r>
      <rPr>
        <b/>
        <sz val="12"/>
        <color theme="1"/>
        <rFont val="Calibri"/>
        <family val="2"/>
        <scheme val="minor"/>
      </rPr>
      <t xml:space="preserve">C03 - Communiquer un état d'avancement prévisionnel ou réel du projet en LV1 : 1,5 points      </t>
    </r>
    <r>
      <rPr>
        <sz val="12"/>
        <color theme="1"/>
        <rFont val="Calibri"/>
        <family val="2"/>
        <scheme val="minor"/>
      </rPr>
      <t xml:space="preserve">                                                                                                                     Décrire un état d'avancement d'une idée, d'un principe, d'une solution, d'un projet en utilisant des outils de représentatin adaptés.     Décrire des tâches collectives et individuelles conduites et/ou à conduire.                                                                                                        Présenter des résultats finalisés d'expérimentation, de démarches de réflexion, de recherche d'informations.</t>
    </r>
  </si>
  <si>
    <r>
      <t xml:space="preserve">C04 - S'exprime en continue lors d'une présentation technique en LV1 - 1,5 points                                                                                               </t>
    </r>
    <r>
      <rPr>
        <sz val="12"/>
        <color theme="1"/>
        <rFont val="Calibri"/>
        <family val="2"/>
        <scheme val="minor"/>
      </rPr>
      <t>Produre un discours en LV1</t>
    </r>
  </si>
  <si>
    <r>
      <t xml:space="preserve">C05 - Prendre part à une conversation techniqueen LV1 : 1,5 points                                                                                                                       </t>
    </r>
    <r>
      <rPr>
        <sz val="12"/>
        <color theme="1"/>
        <rFont val="Calibri"/>
        <family val="2"/>
        <scheme val="minor"/>
      </rPr>
      <t>Interagir avec le jury en vue de le convaincre</t>
    </r>
  </si>
  <si>
    <r>
      <t xml:space="preserve">C06 - Construire un message intelligible dans un contexte technique en LV1 : 2 points                                                                                </t>
    </r>
    <r>
      <rPr>
        <sz val="12"/>
        <color theme="1"/>
        <rFont val="Calibri"/>
        <family val="2"/>
        <scheme val="minor"/>
      </rPr>
      <t>Produire un message intelligible et recevable sur le plan linguistique</t>
    </r>
  </si>
  <si>
    <t>Fiche d'évaluation de la première partie de l'épreuve :</t>
  </si>
  <si>
    <t>présentation orale en langue vivante de la conduite de projet</t>
  </si>
  <si>
    <t>Baccalauréat techologique série STI2D     Epreuve d'enseignement technologique en langue vivante 1</t>
  </si>
  <si>
    <t>Etablissement :</t>
  </si>
  <si>
    <t>Lycée du Vimeu</t>
  </si>
  <si>
    <t xml:space="preserve">Session : </t>
  </si>
  <si>
    <t>Nom:</t>
  </si>
  <si>
    <t>Prenom:</t>
  </si>
  <si>
    <r>
      <t xml:space="preserve">CO7 - Présenter les enjeux techniques et culturels du projet en langue vivante 1 - 1 point                                                                                                                                                                                                                           </t>
    </r>
    <r>
      <rPr>
        <sz val="12"/>
        <color theme="1"/>
        <rFont val="Calibri"/>
        <family val="2"/>
        <scheme val="minor"/>
      </rPr>
      <t>À partir du CDC, argumenter sur le bien-fondé des solutions techniques retenues d’un point de vue social et technique</t>
    </r>
  </si>
  <si>
    <r>
      <rPr>
        <b/>
        <sz val="12"/>
        <color theme="1"/>
        <rFont val="Calibri"/>
        <family val="2"/>
        <scheme val="minor"/>
      </rPr>
      <t>CO8 - Présenter et expliquer une solution technique retenue caractéristique d’une ou de performances recherchées en langue vivante 1 - 2 points</t>
    </r>
    <r>
      <rPr>
        <sz val="12"/>
        <color theme="1"/>
        <rFont val="Calibri"/>
        <family val="2"/>
        <scheme val="minor"/>
      </rPr>
      <t xml:space="preserve">                                                                                                                                                                                                                    Valider un principe, une solution, en présentant ou en mesurant la performance attendue obtenue par le biais d’une simulation, d’une maquette, d’un prototype</t>
    </r>
  </si>
  <si>
    <r>
      <rPr>
        <b/>
        <sz val="12"/>
        <color theme="1"/>
        <rFont val="Calibri"/>
        <family val="2"/>
        <scheme val="minor"/>
      </rPr>
      <t>C09 - Réaliser et utiliser des documents visuels lors d'une présentation de projet en langue vivante - 2 points.</t>
    </r>
    <r>
      <rPr>
        <sz val="12"/>
        <color theme="1"/>
        <rFont val="Calibri"/>
        <family val="2"/>
        <scheme val="minor"/>
      </rPr>
      <t xml:space="preserve">
</t>
    </r>
    <r>
      <rPr>
        <b/>
        <sz val="12"/>
        <color theme="1"/>
        <rFont val="Calibri"/>
        <family val="2"/>
        <scheme val="minor"/>
      </rPr>
      <t xml:space="preserve">C09.1 Choisir le media de communication le plus pertinent (schémas, textes, modèles numériques, résultats d’expérimentations) pour l’information ciblée. </t>
    </r>
    <r>
      <rPr>
        <sz val="12"/>
        <color theme="1"/>
        <rFont val="Calibri"/>
        <family val="2"/>
        <scheme val="minor"/>
      </rPr>
      <t xml:space="preserve">Le candidat a su choisir l'outil de communication adapté pour présenter les informations souhaitées.                                                                                                                                                                                                                                                     </t>
    </r>
    <r>
      <rPr>
        <b/>
        <sz val="12"/>
        <color theme="1"/>
        <rFont val="Calibri"/>
        <family val="2"/>
        <scheme val="minor"/>
      </rPr>
      <t>C09.2 Produire des documents visuels de qualité du point de vue scientifique et technique.</t>
    </r>
    <r>
      <rPr>
        <sz val="12"/>
        <color theme="1"/>
        <rFont val="Calibri"/>
        <family val="2"/>
        <scheme val="minor"/>
      </rPr>
      <t xml:space="preserve">Le candidat a su produire des documents visuels exempts de défauts scientifiques et techniques                                                                                                                                                     </t>
    </r>
    <r>
      <rPr>
        <b/>
        <sz val="12"/>
        <color theme="1"/>
        <rFont val="Calibri"/>
        <family val="2"/>
        <scheme val="minor"/>
      </rPr>
      <t xml:space="preserve">C09.3 Veiller à la correction linguistique (grammaire, lexique, orthographe) et richesse linguistique (variété des structures, richesse et précision lexicale) </t>
    </r>
    <r>
      <rPr>
        <sz val="12"/>
        <color theme="1"/>
        <rFont val="Calibri"/>
        <family val="2"/>
        <scheme val="minor"/>
      </rPr>
      <t xml:space="preserve">Le candidat a su enrichir les documents visuels d'un vocabulaire technique en respectant la correction linguistique </t>
    </r>
  </si>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</sst>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alibri"/>
      <family val="2"/>
      <scheme val="minor"/>
    </font>
    <font>
      <b/>
      <sz val="24"/>
      <color theme="1"/>
      <name val="Calibri"/>
      <family val="2"/>
      <scheme val="minor"/>
    </font>
    <font>
      <b/>
      <sz val="14"/>
      <color theme="1"/>
      <name val="Calibri"/>
      <family val="2"/>
      <scheme val="minor"/>
    </font>
    <font>
      <b/>
      <sz val="12"/>
      <color theme="1"/>
      <name val="Calibri"/>
      <family val="2"/>
      <scheme val="minor"/>
    </font>
    <font>
      <sz val="12"/>
      <color theme="1"/>
      <name val="Calibri"/>
      <family val="2"/>
      <scheme val="minor"/>
    </font>
    <font>
      <sz val="11"/>
      <color theme="0"/>
      <name val="Calibri"/>
      <family val="2"/>
      <scheme val="minor"/>
    </font>
    <font>
      <sz val="14"/>
      <color theme="0"/>
      <name val="Calibri"/>
      <family val="2"/>
      <scheme val="minor"/>
    </font>
    <font>
      <b/>
      <sz val="9"/>
      <color indexed="8"/>
      <name val="Calibri"/>
      <family val="2"/>
    </font>
    <font>
      <sz val="9"/>
      <color indexed="8"/>
      <name val="Calibri"/>
      <family val="2"/>
    </font>
    <font>
      <i/>
      <sz val="9"/>
      <color indexed="8"/>
      <name val="Calibri"/>
      <family val="2"/>
    </font>
    <font>
      <b/>
      <sz val="16"/>
      <color rgb="FF000000"/>
      <name val="Calibri"/>
      <family val="2"/>
      <scheme val="minor"/>
    </font>
    <font>
      <sz val="16"/>
      <color rgb="FF000000"/>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3" fillId="0" borderId="0" applyNumberFormat="0" applyFill="0" applyBorder="0" applyAlignment="0" applyProtection="0"/>
  </cellStyleXfs>
  <cellXfs count="40">
    <xf numFmtId="0" fontId="0" fillId="0" borderId="0" xfId="0"/>
    <xf numFmtId="0" fontId="0" fillId="0" borderId="0" xfId="0" applyAlignment="1">
      <alignment horizontal="right"/>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3" fillId="0" borderId="0" xfId="0" applyFont="1"/>
    <xf numFmtId="0" fontId="3" fillId="0" borderId="0" xfId="0" applyFont="1" applyAlignment="1">
      <alignment horizontal="right"/>
    </xf>
    <xf numFmtId="0" fontId="3" fillId="0" borderId="0" xfId="0" applyFont="1" applyAlignment="1">
      <alignment horizontal="center" vertical="center"/>
    </xf>
    <xf numFmtId="0" fontId="3" fillId="0" borderId="0" xfId="0" applyFont="1" applyAlignment="1">
      <alignment horizontal="left" vertical="center"/>
    </xf>
    <xf numFmtId="0" fontId="3" fillId="0" borderId="1" xfId="0" applyFont="1" applyBorder="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11" fillId="0" borderId="0" xfId="0" applyFont="1"/>
    <xf numFmtId="0" fontId="12" fillId="0" borderId="0" xfId="0" applyFont="1"/>
    <xf numFmtId="0" fontId="0" fillId="0" borderId="0" xfId="0" applyAlignment="1">
      <alignment horizontal="center" vertical="center"/>
    </xf>
    <xf numFmtId="0" fontId="13" fillId="0" borderId="0" xfId="1" applyAlignment="1">
      <alignment horizontal="center" vertical="center"/>
    </xf>
    <xf numFmtId="0" fontId="4" fillId="0" borderId="1" xfId="0" applyFont="1" applyBorder="1" applyAlignment="1">
      <alignment horizontal="left" vertical="top" wrapText="1"/>
    </xf>
    <xf numFmtId="0" fontId="4" fillId="0" borderId="1" xfId="0" applyFont="1" applyBorder="1" applyAlignment="1">
      <alignment horizontal="left" wrapText="1"/>
    </xf>
    <xf numFmtId="0" fontId="1" fillId="0" borderId="1" xfId="0" applyFont="1" applyBorder="1" applyAlignment="1">
      <alignment horizontal="left" wrapText="1"/>
    </xf>
    <xf numFmtId="0" fontId="5" fillId="0" borderId="1" xfId="0" applyFont="1" applyBorder="1" applyAlignment="1">
      <alignment horizontal="left" vertical="top" wrapText="1"/>
    </xf>
    <xf numFmtId="0" fontId="0" fillId="0" borderId="1" xfId="0" applyBorder="1" applyAlignment="1">
      <alignment horizontal="left" vertical="top" wrapText="1"/>
    </xf>
    <xf numFmtId="0" fontId="3" fillId="0" borderId="0" xfId="0" applyFont="1" applyFill="1" applyBorder="1" applyAlignment="1">
      <alignment horizontal="left" vertical="center"/>
    </xf>
    <xf numFmtId="0" fontId="0" fillId="0" borderId="0" xfId="0" applyFill="1" applyBorder="1"/>
    <xf numFmtId="0" fontId="3" fillId="0" borderId="0" xfId="0" applyFont="1" applyFill="1" applyBorder="1" applyAlignment="1">
      <alignment horizontal="center" vertical="center"/>
    </xf>
    <xf numFmtId="0" fontId="6" fillId="0" borderId="0" xfId="0" applyFont="1" applyFill="1" applyBorder="1" applyAlignment="1">
      <alignment horizontal="center" vertical="center"/>
    </xf>
    <xf numFmtId="0" fontId="0" fillId="0" borderId="0" xfId="0" applyFill="1" applyBorder="1" applyAlignment="1">
      <alignment horizontal="center" vertical="center"/>
    </xf>
    <xf numFmtId="0" fontId="4" fillId="0" borderId="0" xfId="0" applyFont="1" applyFill="1" applyBorder="1" applyAlignment="1">
      <alignment horizontal="left" wrapText="1"/>
    </xf>
    <xf numFmtId="0" fontId="1" fillId="0" borderId="0" xfId="0" applyFont="1" applyFill="1" applyBorder="1" applyAlignment="1">
      <alignment horizontal="left" wrapText="1"/>
    </xf>
    <xf numFmtId="0" fontId="2" fillId="0" borderId="0" xfId="0" applyFont="1" applyFill="1" applyBorder="1" applyAlignment="1">
      <alignment horizontal="center" vertical="center"/>
    </xf>
    <xf numFmtId="0" fontId="7" fillId="0" borderId="0" xfId="0" applyFont="1" applyFill="1" applyBorder="1" applyAlignment="1">
      <alignment horizontal="center" vertical="center"/>
    </xf>
    <xf numFmtId="0" fontId="5" fillId="0" borderId="0" xfId="0" applyFont="1" applyFill="1" applyBorder="1" applyAlignment="1">
      <alignment horizontal="left" vertical="top" wrapText="1"/>
    </xf>
    <xf numFmtId="0" fontId="0" fillId="0" borderId="0" xfId="0" applyFill="1" applyBorder="1" applyAlignment="1">
      <alignment horizontal="left" vertical="top" wrapText="1"/>
    </xf>
    <xf numFmtId="0" fontId="4" fillId="0" borderId="0" xfId="0" applyFont="1" applyFill="1" applyBorder="1" applyAlignment="1">
      <alignment horizontal="left" vertical="top" wrapText="1"/>
    </xf>
    <xf numFmtId="0" fontId="3" fillId="0" borderId="0" xfId="0" applyFont="1" applyFill="1" applyBorder="1" applyAlignment="1">
      <alignment horizontal="right"/>
    </xf>
    <xf numFmtId="0" fontId="3" fillId="0" borderId="0" xfId="0" applyFont="1" applyFill="1" applyBorder="1"/>
    <xf numFmtId="0" fontId="8" fillId="0" borderId="0" xfId="0" applyFont="1" applyFill="1" applyBorder="1" applyAlignment="1">
      <alignment horizontal="center" vertical="center" wrapText="1"/>
    </xf>
    <xf numFmtId="0" fontId="9" fillId="0" borderId="0" xfId="0" applyFont="1" applyFill="1" applyBorder="1" applyAlignment="1">
      <alignment vertical="center" wrapText="1"/>
    </xf>
    <xf numFmtId="0" fontId="9" fillId="0" borderId="0" xfId="0" applyFont="1" applyFill="1" applyBorder="1" applyAlignment="1">
      <alignment horizontal="center" vertical="center" wrapText="1"/>
    </xf>
    <xf numFmtId="2" fontId="10" fillId="0" borderId="0" xfId="0" applyNumberFormat="1" applyFont="1" applyFill="1" applyBorder="1" applyAlignment="1">
      <alignment horizontal="right" vertical="center"/>
    </xf>
    <xf numFmtId="0" fontId="9" fillId="0" borderId="0" xfId="0" applyFont="1" applyFill="1" applyBorder="1" applyAlignment="1">
      <alignment horizontal="left" vertical="center" wrapText="1"/>
    </xf>
    <xf numFmtId="0" fontId="1" fillId="0" borderId="0" xfId="0" applyFont="1" applyFill="1" applyBorder="1" applyAlignment="1">
      <alignment horizontal="center"/>
    </xf>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31"/>
  <dimension ref="A1:K35"/>
  <sheetViews>
    <sheetView tabSelected="1" topLeftCell="A5" zoomScale="70" zoomScaleNormal="70" workbookViewId="0">
      <selection activeCell="J12" sqref="J12"/>
    </sheetView>
  </sheetViews>
  <sheetFormatPr baseColWidth="10" defaultRowHeight="15" x14ac:dyDescent="0.25"/>
  <cols>
    <col min="1" max="1" width="14.28515625" customWidth="1"/>
    <col min="2" max="2" width="14.5703125" customWidth="1"/>
    <col min="3" max="3" width="11.5703125" customWidth="1"/>
    <col min="4" max="4" width="90.28515625" customWidth="1"/>
    <col min="10" max="10" width="11.42578125" style="13"/>
  </cols>
  <sheetData>
    <row r="1" spans="1:10" ht="21" x14ac:dyDescent="0.35">
      <c r="A1" s="11" t="s">
        <v>7</v>
      </c>
    </row>
    <row r="2" spans="1:10" ht="20.25" customHeight="1" x14ac:dyDescent="0.35">
      <c r="A2" s="11" t="s">
        <v>8</v>
      </c>
    </row>
    <row r="4" spans="1:10" ht="21" x14ac:dyDescent="0.35">
      <c r="A4" s="11" t="s">
        <v>9</v>
      </c>
    </row>
    <row r="5" spans="1:10" x14ac:dyDescent="0.25">
      <c r="D5" s="1"/>
    </row>
    <row r="6" spans="1:10" ht="21" x14ac:dyDescent="0.35">
      <c r="A6" s="11" t="s">
        <v>13</v>
      </c>
      <c r="D6" s="11" t="s">
        <v>10</v>
      </c>
      <c r="E6" s="12" t="s">
        <v>11</v>
      </c>
    </row>
    <row r="7" spans="1:10" ht="20.25" customHeight="1" x14ac:dyDescent="0.35">
      <c r="A7" s="11" t="s">
        <v>14</v>
      </c>
      <c r="D7" s="11" t="s">
        <v>12</v>
      </c>
      <c r="E7" s="13"/>
    </row>
    <row r="9" spans="1:10" ht="23.25" customHeight="1" x14ac:dyDescent="0.25">
      <c r="A9" s="7"/>
      <c r="E9" s="8">
        <v>0</v>
      </c>
      <c r="F9" s="8">
        <v>1</v>
      </c>
      <c r="G9" s="8">
        <v>2</v>
      </c>
      <c r="H9" s="8">
        <v>3</v>
      </c>
      <c r="I9" s="9" t="s">
        <v>0</v>
      </c>
    </row>
    <row r="10" spans="1:10" ht="67.150000000000006" customHeight="1" x14ac:dyDescent="0.25">
      <c r="A10" s="16" t="s">
        <v>2</v>
      </c>
      <c r="B10" s="17"/>
      <c r="C10" s="17"/>
      <c r="D10" s="17"/>
      <c r="E10" s="2"/>
      <c r="F10" s="3"/>
      <c r="G10" s="3"/>
      <c r="H10" s="3"/>
      <c r="I10" s="10">
        <f>SUM(IF(OR(E10="x",E10="X"),0,0),IF(OR(F10="x",F10="X"),0.5,0),IF(OR(G10="x",G10="X"),1,0),IF(OR(H10="x",H10="X"),1.5,0))</f>
        <v>0</v>
      </c>
      <c r="J10" s="13">
        <v>1.5</v>
      </c>
    </row>
    <row r="11" spans="1:10" ht="87" customHeight="1" x14ac:dyDescent="0.25">
      <c r="A11" s="18" t="s">
        <v>1</v>
      </c>
      <c r="B11" s="19"/>
      <c r="C11" s="19"/>
      <c r="D11" s="19"/>
      <c r="E11" s="3"/>
      <c r="F11" s="3"/>
      <c r="G11" s="3"/>
      <c r="H11" s="3"/>
      <c r="I11" s="10">
        <f>SUM(IF(OR(E11="x",E11="X"),0.5,0),IF(OR(F11="x",F11="X"),1,0),IF(OR(G11="x",G11="X"),1.5,0),IF(OR(H11="x",H11="X"),2,0))</f>
        <v>0</v>
      </c>
      <c r="J11" s="13">
        <v>2</v>
      </c>
    </row>
    <row r="12" spans="1:10" ht="80.25" customHeight="1" x14ac:dyDescent="0.25">
      <c r="A12" s="18" t="s">
        <v>3</v>
      </c>
      <c r="B12" s="19"/>
      <c r="C12" s="19"/>
      <c r="D12" s="19"/>
      <c r="E12" s="3"/>
      <c r="F12" s="3"/>
      <c r="G12" s="3"/>
      <c r="H12" s="3"/>
      <c r="I12" s="10">
        <f>SUM(IF(OR(E12="x",E12="X"),0,0),IF(OR(F12="x",F12="X"),0.5,0),IF(OR(G12="x",G12="X"),1,0),IF(OR(H12="x",H12="X"),1.5,0))</f>
        <v>0</v>
      </c>
      <c r="J12" s="13">
        <v>1.5</v>
      </c>
    </row>
    <row r="13" spans="1:10" ht="80.25" customHeight="1" x14ac:dyDescent="0.25">
      <c r="A13" s="16" t="s">
        <v>15</v>
      </c>
      <c r="B13" s="17"/>
      <c r="C13" s="17"/>
      <c r="D13" s="17"/>
      <c r="E13" s="3"/>
      <c r="F13" s="3"/>
      <c r="G13" s="3"/>
      <c r="H13" s="3"/>
      <c r="I13" s="10">
        <f>SUM(IF(OR(E13="x",E13="X"),0.25,0),IF(OR(F13="x",F13="X"),0.5,0),IF(OR(G13="x",G13="X"),0.75,0),IF(OR(H13="x",H13="X"),1,0))</f>
        <v>0</v>
      </c>
      <c r="J13" s="13">
        <v>1</v>
      </c>
    </row>
    <row r="14" spans="1:10" ht="80.25" customHeight="1" x14ac:dyDescent="0.25">
      <c r="A14" s="18" t="s">
        <v>16</v>
      </c>
      <c r="B14" s="19"/>
      <c r="C14" s="19"/>
      <c r="D14" s="19"/>
      <c r="E14" s="3"/>
      <c r="F14" s="3"/>
      <c r="G14" s="3"/>
      <c r="H14" s="3"/>
      <c r="I14" s="10">
        <f>SUM(IF(OR(E14="x",E14="X"),0.5,0),IF(OR(F14="x",F14="X"),1,0),IF(OR(G14="x",G14="X"),1.5,0),IF(OR(H14="x",H14="X"),2,0))</f>
        <v>0</v>
      </c>
      <c r="J14" s="13">
        <v>2</v>
      </c>
    </row>
    <row r="15" spans="1:10" ht="80.25" customHeight="1" x14ac:dyDescent="0.25">
      <c r="A15" s="18" t="s">
        <v>17</v>
      </c>
      <c r="B15" s="19"/>
      <c r="C15" s="19"/>
      <c r="D15" s="19"/>
      <c r="E15" s="3"/>
      <c r="F15" s="3"/>
      <c r="G15" s="3"/>
      <c r="H15" s="3"/>
      <c r="I15" s="10">
        <f>SUM(IF(OR(E15="x",E15="X"),0.5,0),IF(OR(F15="x",F15="X"),1,0),IF(OR(G15="x",G15="X"),1.5,0),IF(OR(H15="x",H15="X"),2,0))</f>
        <v>0</v>
      </c>
      <c r="J15" s="13">
        <v>2</v>
      </c>
    </row>
    <row r="16" spans="1:10" ht="37.15" customHeight="1" x14ac:dyDescent="0.25">
      <c r="A16" s="15" t="s">
        <v>4</v>
      </c>
      <c r="B16" s="18"/>
      <c r="C16" s="18"/>
      <c r="D16" s="18"/>
      <c r="E16" s="3"/>
      <c r="F16" s="3"/>
      <c r="G16" s="3"/>
      <c r="H16" s="3"/>
      <c r="I16" s="10">
        <f>SUM(IF(OR(E16="x",E16="X"),0,0),IF(OR(F16="x",F16="X"),0.5,0),IF(OR(G16="x",G16="X"),1,0),IF(OR(H16="x",H16="X"),1.5,0))</f>
        <v>0</v>
      </c>
      <c r="J16" s="13">
        <v>3</v>
      </c>
    </row>
    <row r="17" spans="1:11" ht="37.9" customHeight="1" x14ac:dyDescent="0.25">
      <c r="A17" s="15" t="s">
        <v>5</v>
      </c>
      <c r="B17" s="18"/>
      <c r="C17" s="18"/>
      <c r="D17" s="18"/>
      <c r="E17" s="3"/>
      <c r="F17" s="3"/>
      <c r="G17" s="3"/>
      <c r="H17" s="3"/>
      <c r="I17" s="10">
        <f>SUM(IF(OR(E17="x",E17="X"),0,0),IF(OR(F17="x",F17="X"),0.5,0),IF(OR(G17="x",G17="X"),1,0),IF(OR(H17="x",H17="X"),1.5,0))</f>
        <v>0</v>
      </c>
      <c r="J17" s="13">
        <v>3</v>
      </c>
    </row>
    <row r="18" spans="1:11" ht="36.6" customHeight="1" x14ac:dyDescent="0.25">
      <c r="A18" s="15" t="s">
        <v>6</v>
      </c>
      <c r="B18" s="15"/>
      <c r="C18" s="15"/>
      <c r="D18" s="15"/>
      <c r="E18" s="3"/>
      <c r="F18" s="3"/>
      <c r="G18" s="3"/>
      <c r="H18" s="3"/>
      <c r="I18" s="10">
        <f>SUM(IF(OR(E18="x",E18="X"),0.5,0),IF(OR(F18="x",F18="X"),1,0),IF(OR(G18="x",G18="X"),1.5,0),IF(OR(H18="x",H18="X"),2,0))</f>
        <v>0</v>
      </c>
      <c r="J18" s="13">
        <v>4</v>
      </c>
    </row>
    <row r="20" spans="1:11" ht="18.75" x14ac:dyDescent="0.3">
      <c r="F20" s="5"/>
      <c r="G20" s="6"/>
      <c r="H20" s="4"/>
    </row>
    <row r="21" spans="1:11" ht="18.75" x14ac:dyDescent="0.3">
      <c r="F21" s="5"/>
      <c r="G21" s="6"/>
      <c r="H21" s="4"/>
      <c r="J21" s="14"/>
    </row>
    <row r="22" spans="1:11" ht="18.75" x14ac:dyDescent="0.3">
      <c r="F22" s="5"/>
      <c r="G22" s="6"/>
      <c r="H22" s="4"/>
    </row>
    <row r="23" spans="1:11" ht="18.75" x14ac:dyDescent="0.3">
      <c r="F23" s="5"/>
      <c r="G23" s="6"/>
      <c r="H23" s="4"/>
    </row>
    <row r="24" spans="1:11" ht="18.75" x14ac:dyDescent="0.25">
      <c r="A24" s="20"/>
      <c r="B24" s="21"/>
      <c r="C24" s="21"/>
      <c r="D24" s="21"/>
      <c r="E24" s="22"/>
      <c r="F24" s="22"/>
      <c r="G24" s="22"/>
      <c r="H24" s="22" t="s">
        <v>18</v>
      </c>
      <c r="I24" s="23"/>
      <c r="J24" s="24"/>
      <c r="K24" s="21"/>
    </row>
    <row r="25" spans="1:11" ht="27.75" customHeight="1" x14ac:dyDescent="0.25">
      <c r="A25" s="25"/>
      <c r="B25" s="26"/>
      <c r="C25" s="26"/>
      <c r="D25" s="26"/>
      <c r="E25" s="27"/>
      <c r="F25" s="27"/>
      <c r="G25" s="27"/>
      <c r="H25" s="27"/>
      <c r="I25" s="28"/>
      <c r="J25" s="24"/>
      <c r="K25" s="21"/>
    </row>
    <row r="26" spans="1:11" ht="64.5" customHeight="1" x14ac:dyDescent="0.25">
      <c r="A26" s="29"/>
      <c r="B26" s="30"/>
      <c r="C26" s="30"/>
      <c r="D26" s="30"/>
      <c r="E26" s="27"/>
      <c r="F26" s="27"/>
      <c r="G26" s="27"/>
      <c r="H26" s="27"/>
      <c r="I26" s="28"/>
      <c r="J26" s="24"/>
      <c r="K26" s="21"/>
    </row>
    <row r="27" spans="1:11" ht="115.5" customHeight="1" x14ac:dyDescent="0.25">
      <c r="A27" s="29"/>
      <c r="B27" s="30"/>
      <c r="C27" s="30"/>
      <c r="D27" s="30"/>
      <c r="E27" s="27"/>
      <c r="F27" s="27"/>
      <c r="G27" s="27"/>
      <c r="H27" s="27"/>
      <c r="I27" s="28"/>
      <c r="J27" s="24"/>
      <c r="K27" s="21"/>
    </row>
    <row r="28" spans="1:11" ht="31.5" customHeight="1" x14ac:dyDescent="0.25">
      <c r="A28" s="31"/>
      <c r="B28" s="29"/>
      <c r="C28" s="29"/>
      <c r="D28" s="29"/>
      <c r="E28" s="27"/>
      <c r="F28" s="27"/>
      <c r="G28" s="27"/>
      <c r="H28" s="27"/>
      <c r="I28" s="28"/>
      <c r="J28" s="24"/>
      <c r="K28" s="21"/>
    </row>
    <row r="29" spans="1:11" ht="33.75" customHeight="1" x14ac:dyDescent="0.25">
      <c r="A29" s="31"/>
      <c r="B29" s="29"/>
      <c r="C29" s="29"/>
      <c r="D29" s="29"/>
      <c r="E29" s="27"/>
      <c r="F29" s="27"/>
      <c r="G29" s="27"/>
      <c r="H29" s="27"/>
      <c r="I29" s="28"/>
      <c r="J29" s="24"/>
      <c r="K29" s="21"/>
    </row>
    <row r="30" spans="1:11" ht="37.5" customHeight="1" x14ac:dyDescent="0.25">
      <c r="A30" s="31"/>
      <c r="B30" s="31"/>
      <c r="C30" s="31"/>
      <c r="D30" s="31"/>
      <c r="E30" s="27"/>
      <c r="F30" s="27"/>
      <c r="G30" s="27"/>
      <c r="H30" s="27"/>
      <c r="I30" s="28"/>
      <c r="J30" s="24"/>
      <c r="K30" s="21"/>
    </row>
    <row r="31" spans="1:11" x14ac:dyDescent="0.25">
      <c r="A31" s="21"/>
      <c r="B31" s="21"/>
      <c r="C31" s="21"/>
      <c r="D31" s="21"/>
      <c r="E31" s="21"/>
      <c r="F31" s="21"/>
      <c r="G31" s="21"/>
      <c r="H31" s="21"/>
      <c r="I31" s="21"/>
      <c r="J31" s="24"/>
      <c r="K31" s="21"/>
    </row>
    <row r="32" spans="1:11" ht="15.75" customHeight="1" x14ac:dyDescent="0.3">
      <c r="A32" s="21"/>
      <c r="B32" s="21"/>
      <c r="C32" s="21"/>
      <c r="D32" s="21"/>
      <c r="E32" s="21"/>
      <c r="F32" s="32"/>
      <c r="G32" s="22"/>
      <c r="H32" s="33"/>
      <c r="I32" s="21"/>
      <c r="J32" s="24"/>
      <c r="K32" s="21"/>
    </row>
    <row r="33" spans="1:11" x14ac:dyDescent="0.25">
      <c r="A33" s="34"/>
      <c r="B33" s="35"/>
      <c r="C33" s="36"/>
      <c r="D33" s="36"/>
      <c r="E33" s="21"/>
      <c r="F33" s="21"/>
      <c r="G33" s="21"/>
      <c r="H33" s="21"/>
      <c r="I33" s="37"/>
      <c r="J33" s="24"/>
      <c r="K33" s="21"/>
    </row>
    <row r="34" spans="1:11" x14ac:dyDescent="0.25">
      <c r="A34" s="34"/>
      <c r="B34" s="38"/>
      <c r="C34" s="36"/>
      <c r="D34" s="36"/>
      <c r="E34" s="39"/>
      <c r="F34" s="39"/>
      <c r="G34" s="21"/>
      <c r="H34" s="21"/>
      <c r="I34" s="37"/>
      <c r="J34" s="24"/>
      <c r="K34" s="21"/>
    </row>
    <row r="35" spans="1:11" x14ac:dyDescent="0.25">
      <c r="A35" s="21"/>
      <c r="B35" s="21"/>
      <c r="C35" s="21"/>
      <c r="D35" s="21"/>
      <c r="E35" s="21"/>
      <c r="F35" s="21"/>
      <c r="G35" s="21"/>
      <c r="H35" s="21"/>
      <c r="I35" s="21"/>
      <c r="J35" s="24"/>
      <c r="K35" s="21"/>
    </row>
  </sheetData>
  <mergeCells count="17">
    <mergeCell ref="A15:D15"/>
    <mergeCell ref="A30:D30"/>
    <mergeCell ref="C33:D33"/>
    <mergeCell ref="C34:D34"/>
    <mergeCell ref="A18:D18"/>
    <mergeCell ref="A10:D10"/>
    <mergeCell ref="A11:D11"/>
    <mergeCell ref="A12:D12"/>
    <mergeCell ref="A16:D16"/>
    <mergeCell ref="A17:D17"/>
    <mergeCell ref="A25:D25"/>
    <mergeCell ref="A26:D26"/>
    <mergeCell ref="A27:D27"/>
    <mergeCell ref="A28:D28"/>
    <mergeCell ref="A29:D29"/>
    <mergeCell ref="A13:D13"/>
    <mergeCell ref="A14:D14"/>
  </mergeCells>
  <pageMargins left="0.7" right="0.7" top="0.75" bottom="0.75" header="0.3" footer="0.3"/>
  <pageSetup paperSize="9" orientation="portrait" horizontalDpi="4294967293"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Candidat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2006-09-12T15:06:44Z</dcterms:created>
  <dcterms:modified xsi:type="dcterms:W3CDTF">2026-05-12T18:46:14Z</dcterms:modified>
</cp:coreProperties>
</file>