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I2D\2 Terminale\4 Grand oral\"/>
    </mc:Choice>
  </mc:AlternateContent>
  <xr:revisionPtr revIDLastSave="0" documentId="13_ncr:1_{275A5BB2-9C6C-41AD-A101-5855D1C3EFB3}" xr6:coauthVersionLast="47" xr6:coauthVersionMax="47" xr10:uidLastSave="{00000000-0000-0000-0000-000000000000}"/>
  <bookViews>
    <workbookView xWindow="-108" yWindow="-108" windowWidth="23256" windowHeight="12456" xr2:uid="{DB5D8022-D674-4553-8960-7D2ED1C4186C}"/>
  </bookViews>
  <sheets>
    <sheet name="Notation" sheetId="1" r:id="rId1"/>
    <sheet name="Profil not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3" i="1" l="1"/>
  <c r="M15" i="1"/>
  <c r="M17" i="1"/>
  <c r="M9" i="1"/>
  <c r="M11" i="1"/>
  <c r="I9" i="1"/>
  <c r="J18" i="1"/>
  <c r="I17" i="1"/>
  <c r="I15" i="1"/>
  <c r="I13" i="1"/>
  <c r="I11" i="1"/>
  <c r="L18" i="1" l="1"/>
  <c r="I18" i="1"/>
  <c r="J13" i="1" l="1"/>
  <c r="J15" i="1"/>
  <c r="J17" i="1"/>
  <c r="J9" i="1"/>
  <c r="J11" i="1"/>
  <c r="J7" i="1" l="1"/>
  <c r="E19" i="1" s="1"/>
</calcChain>
</file>

<file path=xl/sharedStrings.xml><?xml version="1.0" encoding="utf-8"?>
<sst xmlns="http://schemas.openxmlformats.org/spreadsheetml/2006/main" count="46" uniqueCount="46">
  <si>
    <t>SESSION :</t>
  </si>
  <si>
    <t>Note brute /20</t>
  </si>
  <si>
    <t>Compétences évaluées</t>
  </si>
  <si>
    <t>Pondération</t>
  </si>
  <si>
    <t>Note brute obtenue par calcul automatique (tous les indicateurs doivent être renseignés) :</t>
  </si>
  <si>
    <t xml:space="preserve"> /20</t>
  </si>
  <si>
    <t>Note sur 20 proposée au jury* :</t>
  </si>
  <si>
    <t>/20</t>
  </si>
  <si>
    <t>* La note est arrondie au point entier, si les examinateurs le souhaitent, au point supérieur</t>
  </si>
  <si>
    <t xml:space="preserve">DATE </t>
  </si>
  <si>
    <t>ATTENTION, si le symbole ◄ apparait la colonne J c'est qu'il y a soit plus d'une valeur donnée à l'indicateur, soit pas de valeur, il faut alors choisir laquelle retenir</t>
  </si>
  <si>
    <t></t>
  </si>
  <si>
    <t>Nom et prénom du candidat</t>
  </si>
  <si>
    <t>Référence du sujet</t>
  </si>
  <si>
    <t>Nom et prénom de l'évaluateur / Signature</t>
  </si>
  <si>
    <t>Appréciation globale</t>
  </si>
  <si>
    <t>Qualité orale</t>
  </si>
  <si>
    <t>Prise de parole en continu</t>
  </si>
  <si>
    <t>Interaction</t>
  </si>
  <si>
    <t>Connaissances</t>
  </si>
  <si>
    <t>Argumentation</t>
  </si>
  <si>
    <t>Très insatisfaisant 0</t>
  </si>
  <si>
    <t>Très satisfaisant 3/3</t>
  </si>
  <si>
    <t>Satisfaisant 2/3</t>
  </si>
  <si>
    <t>Insatisfaisant 1/3</t>
  </si>
  <si>
    <t>2I2D - Grille d'évaluation du grand oral</t>
  </si>
  <si>
    <t>La voix soutient efficacement le discours.Qualités prosodiquesmarquées (débit,fluidité, variationset nuancespertinentes…).Le candidat est pleinement engagé dans sa parole. Il utilise un vocabulaire riche et précis.</t>
  </si>
  <si>
    <t>Quelques
variations dans
l’utilisation de
la voix; prise de
parole affirmée. Il
utilise un lexique
adapté.
Le candidat
parvient à
susciter l’intérêt.</t>
  </si>
  <si>
    <t>La voix devient plus audible et intelligible au fil de l’épreuve,mais demeure monocorde.Vocabulaire limitéou approximatif</t>
  </si>
  <si>
    <t>Difficilement audible sur l’ensemble de la prestation. Le candidat ne parvient pas àcapter l’attention.</t>
  </si>
  <si>
    <t>Discours fluide,
efficace, tirant
pleinement profit
du temps et
développant ses
propositions.</t>
  </si>
  <si>
    <t>Discours articulé
et pertinent,
énoncés bien
construits.</t>
  </si>
  <si>
    <t>Discours assez
clair, mais
vocabulaire
limité et énoncés
schématiques.</t>
  </si>
  <si>
    <t>Énoncés courts,
ponctués de
pauses et de faux
démarrages ou
énoncés longs à
la syntaxe mal
maîtrisée.</t>
  </si>
  <si>
    <t>L’entretien
permet une
amorce
d’échange.
L’interaction reste
limitée.</t>
  </si>
  <si>
    <t>Réponses courtes
ou rares. La
communication
repose
principalement
sur l’évaluateur.</t>
  </si>
  <si>
    <t>Répond,contribue, réagit. Se reprend,reformule ens’aidant despropositions dujury.</t>
  </si>
  <si>
    <t>S’engage dans saparole, réagit de façon pertinente. Prend l’initiative dans l’échange.Exploite judicieusement les éléments fournis par la situation d’interaction</t>
  </si>
  <si>
    <t>Connaissances maîtrisées, les réponses aux questions du jury témoignent d’une capacité à mobiliser ces connaissances à bon escient et à les exposer clairement</t>
  </si>
  <si>
    <t>Connaissances
précises, une
capacité à
les mobiliser
en réponses
aux questions
du jury avec
éventuellement
quelques
relances.</t>
  </si>
  <si>
    <t>Connaissances
réelles, mais
difficulté à
les mobiliser
en situation à
l’occasion des
questions du jury</t>
  </si>
  <si>
    <t>Connaissances
imprécises,
incapacité à
répondre aux
questions, même
avec une aide et
des relances.</t>
  </si>
  <si>
    <t>Maîtrise des enjeux du sujet, capacité à conduire et exprimer une argumentation personnelle, bien construite</t>
  </si>
  <si>
    <t>Démonstration
construite et
appuyée sur des
arguments précis
et pertinents.</t>
  </si>
  <si>
    <t>Début de démonstration, mais raisonnement lacunaire. Discours insuffisamment structuré.</t>
  </si>
  <si>
    <t>Pas de
compréhension
du sujet, discours
non argumenté et
décousu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</si>
</sst>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?/?"/>
    <numFmt numFmtId="165" formatCode="0.0"/>
  </numFmts>
  <fonts count="3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b/>
      <sz val="18"/>
      <name val="Arial"/>
      <family val="2"/>
      <charset val="1"/>
    </font>
    <font>
      <sz val="10"/>
      <color rgb="FFFF0000"/>
      <name val="Arial"/>
      <family val="2"/>
      <charset val="1"/>
    </font>
    <font>
      <sz val="9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6"/>
      <name val="Arial"/>
      <family val="2"/>
      <charset val="1"/>
    </font>
    <font>
      <b/>
      <sz val="12"/>
      <color rgb="FFFF0000"/>
      <name val="Arial"/>
      <family val="2"/>
      <charset val="1"/>
    </font>
    <font>
      <b/>
      <sz val="12"/>
      <color rgb="FF0000FF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9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9"/>
      <name val="Arial"/>
      <family val="2"/>
      <charset val="1"/>
    </font>
    <font>
      <b/>
      <sz val="10"/>
      <color rgb="FFFFFF00"/>
      <name val="Arial"/>
      <family val="2"/>
      <charset val="1"/>
    </font>
    <font>
      <b/>
      <sz val="9"/>
      <color theme="1"/>
      <name val="Arial"/>
      <family val="2"/>
      <charset val="1"/>
    </font>
    <font>
      <sz val="1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rgb="FFFF0000"/>
      <name val="Arial"/>
      <family val="2"/>
    </font>
    <font>
      <b/>
      <sz val="10"/>
      <color theme="1"/>
      <name val="Arial"/>
      <family val="2"/>
      <charset val="1"/>
    </font>
    <font>
      <i/>
      <sz val="10"/>
      <color rgb="FF0000FF"/>
      <name val="Arial"/>
      <family val="2"/>
      <charset val="1"/>
    </font>
    <font>
      <i/>
      <sz val="10"/>
      <color theme="0"/>
      <name val="Arial"/>
      <family val="2"/>
      <charset val="1"/>
    </font>
    <font>
      <sz val="9"/>
      <name val="Arial"/>
      <family val="2"/>
      <charset val="1"/>
    </font>
    <font>
      <b/>
      <i/>
      <sz val="8"/>
      <color rgb="FFFF0000"/>
      <name val="Arial"/>
      <family val="2"/>
    </font>
    <font>
      <i/>
      <sz val="8"/>
      <color rgb="FFFF0000"/>
      <name val="Arial"/>
      <family val="2"/>
      <charset val="1"/>
    </font>
    <font>
      <b/>
      <sz val="10"/>
      <color rgb="FFFF0000"/>
      <name val="Wingdings"/>
      <charset val="2"/>
    </font>
    <font>
      <b/>
      <sz val="12"/>
      <name val="Calibri"/>
      <family val="2"/>
      <charset val="1"/>
    </font>
    <font>
      <sz val="9"/>
      <color rgb="FFFF0000"/>
      <name val="Arial Narrow"/>
      <family val="2"/>
      <charset val="1"/>
    </font>
    <font>
      <sz val="9"/>
      <color rgb="FF242021"/>
      <name val="Marianne-Regula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rgb="FFFDEADA"/>
      </patternFill>
    </fill>
    <fill>
      <patternFill patternType="solid">
        <fgColor rgb="FFFFFF00"/>
        <bgColor rgb="FFFFFF00"/>
      </patternFill>
    </fill>
    <fill>
      <patternFill patternType="solid">
        <fgColor theme="9" tint="0.79989013336588644"/>
        <b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1"/>
        <bgColor rgb="FFFFFF99"/>
      </patternFill>
    </fill>
    <fill>
      <patternFill patternType="solid">
        <fgColor rgb="FFFFFF99"/>
        <bgColor rgb="FFFFFFC1"/>
      </patternFill>
    </fill>
    <fill>
      <patternFill patternType="solid">
        <fgColor theme="0" tint="-0.14999847407452621"/>
        <bgColor rgb="FFFFFF99"/>
      </patternFill>
    </fill>
    <fill>
      <patternFill patternType="solid">
        <fgColor theme="0" tint="-0.14999847407452621"/>
        <bgColor rgb="FFFFFF00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9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9" fontId="1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2" fontId="16" fillId="3" borderId="2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9" fillId="6" borderId="4" xfId="0" applyFont="1" applyFill="1" applyBorder="1" applyAlignment="1" applyProtection="1">
      <alignment horizontal="center" vertical="center"/>
      <protection locked="0"/>
    </xf>
    <xf numFmtId="0" fontId="19" fillId="6" borderId="5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 vertical="center"/>
    </xf>
    <xf numFmtId="2" fontId="19" fillId="0" borderId="2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10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2" fontId="4" fillId="0" borderId="0" xfId="0" applyNumberFormat="1" applyFont="1" applyAlignment="1">
      <alignment vertical="center"/>
    </xf>
    <xf numFmtId="1" fontId="12" fillId="4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0" fillId="6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0" fontId="26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0" xfId="0" applyFont="1" applyAlignment="1">
      <alignment vertical="top" wrapText="1"/>
    </xf>
    <xf numFmtId="0" fontId="12" fillId="0" borderId="3" xfId="0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19" fillId="6" borderId="2" xfId="0" applyFont="1" applyFill="1" applyBorder="1" applyAlignment="1" applyProtection="1">
      <alignment horizontal="center" vertical="center"/>
      <protection locked="0"/>
    </xf>
    <xf numFmtId="0" fontId="19" fillId="6" borderId="21" xfId="0" applyFont="1" applyFill="1" applyBorder="1" applyAlignment="1" applyProtection="1">
      <alignment horizontal="center" vertical="center"/>
      <protection locked="0"/>
    </xf>
    <xf numFmtId="0" fontId="19" fillId="6" borderId="22" xfId="0" applyFont="1" applyFill="1" applyBorder="1" applyAlignment="1" applyProtection="1">
      <alignment horizontal="center" vertical="center"/>
      <protection locked="0"/>
    </xf>
    <xf numFmtId="0" fontId="19" fillId="6" borderId="23" xfId="0" applyFont="1" applyFill="1" applyBorder="1" applyAlignment="1" applyProtection="1">
      <alignment horizontal="center" vertical="center"/>
      <protection locked="0"/>
    </xf>
    <xf numFmtId="0" fontId="30" fillId="5" borderId="2" xfId="0" applyFont="1" applyFill="1" applyBorder="1" applyAlignment="1">
      <alignment horizontal="center" vertical="center" wrapText="1"/>
    </xf>
    <xf numFmtId="0" fontId="19" fillId="8" borderId="5" xfId="0" applyFont="1" applyFill="1" applyBorder="1" applyAlignment="1" applyProtection="1">
      <alignment horizontal="center" vertical="center" wrapText="1"/>
      <protection locked="0"/>
    </xf>
    <xf numFmtId="0" fontId="19" fillId="8" borderId="4" xfId="0" applyFont="1" applyFill="1" applyBorder="1" applyAlignment="1" applyProtection="1">
      <alignment horizontal="center" vertical="center" wrapText="1"/>
      <protection locked="0"/>
    </xf>
    <xf numFmtId="0" fontId="19" fillId="8" borderId="21" xfId="0" applyFont="1" applyFill="1" applyBorder="1" applyAlignment="1" applyProtection="1">
      <alignment horizontal="center" vertical="center" wrapText="1"/>
      <protection locked="0"/>
    </xf>
    <xf numFmtId="0" fontId="19" fillId="8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1" fillId="0" borderId="0" xfId="0" applyFont="1"/>
    <xf numFmtId="0" fontId="18" fillId="0" borderId="18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7" borderId="10" xfId="0" applyFont="1" applyFill="1" applyBorder="1" applyAlignment="1">
      <alignment horizontal="center" vertical="center" wrapText="1"/>
    </xf>
    <xf numFmtId="0" fontId="21" fillId="7" borderId="10" xfId="0" applyFont="1" applyFill="1" applyBorder="1" applyAlignment="1">
      <alignment horizontal="center" vertical="center"/>
    </xf>
    <xf numFmtId="0" fontId="28" fillId="0" borderId="11" xfId="0" applyFont="1" applyBorder="1" applyAlignment="1" applyProtection="1">
      <alignment horizontal="center" vertical="center"/>
      <protection locked="0"/>
    </xf>
    <xf numFmtId="0" fontId="28" fillId="0" borderId="13" xfId="0" applyFont="1" applyBorder="1" applyAlignment="1" applyProtection="1">
      <alignment horizontal="left" vertical="center"/>
      <protection locked="0"/>
    </xf>
    <xf numFmtId="0" fontId="24" fillId="0" borderId="0" xfId="0" applyFont="1" applyAlignment="1">
      <alignment horizontal="left" vertical="top"/>
    </xf>
    <xf numFmtId="0" fontId="15" fillId="0" borderId="0" xfId="0" applyFont="1" applyAlignment="1">
      <alignment horizontal="right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165" fontId="4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65" fontId="10" fillId="0" borderId="7" xfId="0" applyNumberFormat="1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2" fontId="16" fillId="9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0000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502920</xdr:colOff>
      <xdr:row>0</xdr:row>
      <xdr:rowOff>53340</xdr:rowOff>
    </xdr:from>
    <xdr:to>
      <xdr:col>8</xdr:col>
      <xdr:colOff>708660</xdr:colOff>
      <xdr:row>24</xdr:row>
      <xdr:rowOff>38100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EC56AAF-CEF1-43B1-A87E-33C3D704C4F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" y="53340"/>
          <a:ext cx="6545580" cy="4373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7766-DF5F-41E6-8DDF-57229C6893C9}">
  <dimension ref="A1:M74"/>
  <sheetViews>
    <sheetView tabSelected="1" topLeftCell="A15" zoomScale="85" zoomScaleNormal="85" workbookViewId="0">
      <selection activeCell="P9" sqref="P9"/>
    </sheetView>
  </sheetViews>
  <sheetFormatPr baseColWidth="10" defaultRowHeight="14.4"/>
  <cols>
    <col min="3" max="3" width="20.33203125" customWidth="1"/>
    <col min="5" max="5" width="18" customWidth="1"/>
    <col min="6" max="6" width="18.33203125" customWidth="1"/>
    <col min="7" max="8" width="21" customWidth="1"/>
    <col min="13" max="13" width="1.44140625" hidden="1" customWidth="1"/>
  </cols>
  <sheetData>
    <row r="1" spans="1:13" ht="23.4" thickBot="1">
      <c r="A1" s="1"/>
      <c r="B1" s="2" t="s">
        <v>0</v>
      </c>
      <c r="C1" s="3"/>
      <c r="D1" s="4">
        <v>2026</v>
      </c>
      <c r="E1" s="5"/>
      <c r="F1" s="5"/>
      <c r="G1" s="5"/>
      <c r="H1" s="5"/>
      <c r="I1" s="5"/>
      <c r="J1" s="6"/>
      <c r="K1" s="6"/>
      <c r="L1" s="7"/>
    </row>
    <row r="2" spans="1:13" ht="21.6" thickBot="1">
      <c r="A2" s="8"/>
      <c r="B2" s="100" t="s">
        <v>25</v>
      </c>
      <c r="C2" s="100"/>
      <c r="D2" s="100"/>
      <c r="E2" s="100"/>
      <c r="F2" s="100"/>
      <c r="G2" s="100"/>
      <c r="H2" s="100"/>
      <c r="I2" s="9"/>
      <c r="J2" s="9"/>
      <c r="K2" s="9"/>
      <c r="L2" s="9"/>
    </row>
    <row r="3" spans="1:13" ht="15.6">
      <c r="A3" s="8"/>
      <c r="B3" s="8"/>
      <c r="C3" s="10"/>
      <c r="D3" s="8"/>
      <c r="E3" s="12"/>
      <c r="F3" s="13"/>
      <c r="G3" s="11"/>
      <c r="H3" s="11"/>
      <c r="I3" s="11"/>
      <c r="J3" s="14"/>
      <c r="K3" s="14"/>
      <c r="L3" s="15"/>
    </row>
    <row r="4" spans="1:13">
      <c r="A4" s="16"/>
      <c r="B4" s="16"/>
      <c r="C4" s="17"/>
      <c r="D4" s="16"/>
      <c r="E4" s="19"/>
      <c r="F4" s="20"/>
      <c r="G4" s="18"/>
      <c r="H4" s="18"/>
      <c r="I4" s="18"/>
      <c r="J4" s="21"/>
      <c r="K4" s="21"/>
      <c r="L4" s="22"/>
    </row>
    <row r="5" spans="1:13">
      <c r="A5" s="1"/>
      <c r="B5" s="1"/>
      <c r="C5" s="23"/>
      <c r="D5" s="24"/>
      <c r="E5" s="25"/>
      <c r="F5" s="25"/>
      <c r="G5" s="25"/>
      <c r="H5" s="25"/>
      <c r="I5" s="25"/>
      <c r="J5" s="101" t="s">
        <v>1</v>
      </c>
      <c r="K5" s="6"/>
      <c r="L5" s="26"/>
    </row>
    <row r="6" spans="1:13" ht="36.6" customHeight="1" thickBot="1">
      <c r="A6" s="1"/>
      <c r="B6" s="104" t="s">
        <v>2</v>
      </c>
      <c r="C6" s="104"/>
      <c r="D6" s="105"/>
      <c r="E6" s="58" t="s">
        <v>21</v>
      </c>
      <c r="F6" s="59" t="s">
        <v>24</v>
      </c>
      <c r="G6" s="59" t="s">
        <v>23</v>
      </c>
      <c r="H6" s="60" t="s">
        <v>22</v>
      </c>
      <c r="I6" s="27"/>
      <c r="J6" s="101"/>
      <c r="K6" s="6"/>
      <c r="L6" s="28"/>
    </row>
    <row r="7" spans="1:13" ht="15" thickBot="1">
      <c r="A7" s="1"/>
      <c r="B7" s="102"/>
      <c r="C7" s="102"/>
      <c r="D7" s="102"/>
      <c r="E7" s="103"/>
      <c r="F7" s="103"/>
      <c r="G7" s="103"/>
      <c r="H7" s="103"/>
      <c r="I7" s="19"/>
      <c r="J7" s="29">
        <f>SUM(J9:J17)</f>
        <v>0</v>
      </c>
      <c r="K7" s="20"/>
      <c r="L7" s="30" t="s">
        <v>3</v>
      </c>
    </row>
    <row r="8" spans="1:13" ht="134.4" customHeight="1">
      <c r="A8" s="1"/>
      <c r="B8" s="72" t="s">
        <v>16</v>
      </c>
      <c r="C8" s="73"/>
      <c r="D8" s="74"/>
      <c r="E8" s="65" t="s">
        <v>29</v>
      </c>
      <c r="F8" s="65" t="s">
        <v>28</v>
      </c>
      <c r="G8" s="65" t="s">
        <v>27</v>
      </c>
      <c r="H8" s="65" t="s">
        <v>26</v>
      </c>
      <c r="I8" s="19"/>
      <c r="J8" s="106"/>
      <c r="K8" s="20"/>
      <c r="L8" s="30"/>
    </row>
    <row r="9" spans="1:13" ht="64.8" customHeight="1">
      <c r="A9" s="1"/>
      <c r="B9" s="75"/>
      <c r="C9" s="76"/>
      <c r="D9" s="77"/>
      <c r="E9" s="31"/>
      <c r="F9" s="31"/>
      <c r="G9" s="31"/>
      <c r="H9" s="32"/>
      <c r="I9" s="33" t="str">
        <f>IF(COUNTIF(E9:H9,"x")&lt;&gt;1,"▲","")</f>
        <v>▲</v>
      </c>
      <c r="J9" s="34" t="str">
        <f>IF(M9&lt;&gt;1,"",(IF(F9&lt;&gt;"",1/3,0)+IF(G9&lt;&gt;"",2/3,0)+IF(H9&lt;&gt;"",1,0))*L9/L$18*20)</f>
        <v/>
      </c>
      <c r="K9" s="20"/>
      <c r="L9" s="35">
        <v>4</v>
      </c>
      <c r="M9">
        <f>COUNTA(E9:H9)</f>
        <v>0</v>
      </c>
    </row>
    <row r="10" spans="1:13" ht="93" customHeight="1">
      <c r="A10" s="1"/>
      <c r="B10" s="78" t="s">
        <v>17</v>
      </c>
      <c r="C10" s="79"/>
      <c r="D10" s="80"/>
      <c r="E10" s="67" t="s">
        <v>33</v>
      </c>
      <c r="F10" s="67" t="s">
        <v>32</v>
      </c>
      <c r="G10" s="67" t="s">
        <v>31</v>
      </c>
      <c r="H10" s="66" t="s">
        <v>30</v>
      </c>
      <c r="I10" s="33"/>
      <c r="J10" s="34"/>
      <c r="K10" s="20"/>
      <c r="L10" s="35"/>
    </row>
    <row r="11" spans="1:13" ht="93" customHeight="1">
      <c r="A11" s="1"/>
      <c r="B11" s="75"/>
      <c r="C11" s="76"/>
      <c r="D11" s="77"/>
      <c r="E11" s="31"/>
      <c r="F11" s="31"/>
      <c r="G11" s="31"/>
      <c r="H11" s="32"/>
      <c r="I11" s="33" t="str">
        <f>IF(COUNTIF(E11:H11,"x")&lt;&gt;1,"▲","")</f>
        <v>▲</v>
      </c>
      <c r="J11" s="34" t="str">
        <f>IF(M11&lt;&gt;1,"",(IF(F11&lt;&gt;"",1/3,0)+IF(G11&lt;&gt;"",2/3,0)+IF(H11&lt;&gt;"",1,0))*L11/L$18*20)</f>
        <v/>
      </c>
      <c r="K11" s="20"/>
      <c r="L11" s="35">
        <v>4</v>
      </c>
      <c r="M11">
        <f>COUNTA(E11:H11)</f>
        <v>0</v>
      </c>
    </row>
    <row r="12" spans="1:13" ht="109.8" customHeight="1">
      <c r="A12" s="1"/>
      <c r="B12" s="78" t="s">
        <v>18</v>
      </c>
      <c r="C12" s="79"/>
      <c r="D12" s="80"/>
      <c r="E12" s="67" t="s">
        <v>35</v>
      </c>
      <c r="F12" s="67" t="s">
        <v>34</v>
      </c>
      <c r="G12" s="67" t="s">
        <v>36</v>
      </c>
      <c r="H12" s="68" t="s">
        <v>37</v>
      </c>
      <c r="I12" s="33"/>
      <c r="J12" s="34"/>
      <c r="K12" s="20"/>
      <c r="L12" s="35"/>
    </row>
    <row r="13" spans="1:13" ht="63" customHeight="1">
      <c r="A13" s="1"/>
      <c r="B13" s="75"/>
      <c r="C13" s="76"/>
      <c r="D13" s="77"/>
      <c r="E13" s="31"/>
      <c r="F13" s="31"/>
      <c r="G13" s="31"/>
      <c r="H13" s="32"/>
      <c r="I13" s="33" t="str">
        <f>IF(COUNTIF(E13:H13,"x")&lt;&gt;1,"▲","")</f>
        <v>▲</v>
      </c>
      <c r="J13" s="34" t="str">
        <f>IF(M13&lt;&gt;1,"",(IF(F13&lt;&gt;"",1/3,0)+IF(G13&lt;&gt;"",2/3,0)+IF(H13&lt;&gt;"",1,0))*L13/L$18*20)</f>
        <v/>
      </c>
      <c r="K13" s="20"/>
      <c r="L13" s="35">
        <v>4</v>
      </c>
      <c r="M13">
        <f>COUNTA(E13:H13)</f>
        <v>0</v>
      </c>
    </row>
    <row r="14" spans="1:13" ht="137.4" customHeight="1">
      <c r="A14" s="1"/>
      <c r="B14" s="78" t="s">
        <v>19</v>
      </c>
      <c r="C14" s="79"/>
      <c r="D14" s="80"/>
      <c r="E14" s="67" t="s">
        <v>41</v>
      </c>
      <c r="F14" s="67" t="s">
        <v>40</v>
      </c>
      <c r="G14" s="67" t="s">
        <v>39</v>
      </c>
      <c r="H14" s="68" t="s">
        <v>38</v>
      </c>
      <c r="I14" s="33"/>
      <c r="J14" s="34"/>
      <c r="K14" s="20"/>
      <c r="L14" s="35"/>
    </row>
    <row r="15" spans="1:13" ht="66" customHeight="1">
      <c r="A15" s="1"/>
      <c r="B15" s="75"/>
      <c r="C15" s="76"/>
      <c r="D15" s="77"/>
      <c r="E15" s="61"/>
      <c r="F15" s="61"/>
      <c r="G15" s="61"/>
      <c r="H15" s="62"/>
      <c r="I15" s="33" t="str">
        <f>IF(COUNTIF(E15:H15,"x")&lt;&gt;1,"▲","")</f>
        <v>▲</v>
      </c>
      <c r="J15" s="34" t="str">
        <f>IF(M15&lt;&gt;1,"",(IF(F15&lt;&gt;"",1/3,0)+IF(G15&lt;&gt;"",2/3,0)+IF(H15&lt;&gt;"",1,0))*L15/L$18*20)</f>
        <v/>
      </c>
      <c r="K15" s="20"/>
      <c r="L15" s="35">
        <v>4</v>
      </c>
      <c r="M15">
        <f>COUNTA(E15:H15)</f>
        <v>0</v>
      </c>
    </row>
    <row r="16" spans="1:13" ht="81.599999999999994" customHeight="1">
      <c r="A16" s="1"/>
      <c r="B16" s="78" t="s">
        <v>20</v>
      </c>
      <c r="C16" s="79"/>
      <c r="D16" s="80"/>
      <c r="E16" s="69" t="s">
        <v>45</v>
      </c>
      <c r="F16" s="69" t="s">
        <v>44</v>
      </c>
      <c r="G16" s="69" t="s">
        <v>43</v>
      </c>
      <c r="H16" s="68" t="s">
        <v>42</v>
      </c>
      <c r="I16" s="33"/>
      <c r="J16" s="34"/>
      <c r="K16" s="20"/>
      <c r="L16" s="35"/>
    </row>
    <row r="17" spans="1:13" ht="68.400000000000006" customHeight="1" thickBot="1">
      <c r="A17" s="1"/>
      <c r="B17" s="97"/>
      <c r="C17" s="98"/>
      <c r="D17" s="99"/>
      <c r="E17" s="63"/>
      <c r="F17" s="63"/>
      <c r="G17" s="63"/>
      <c r="H17" s="64"/>
      <c r="I17" s="33" t="str">
        <f>IF(COUNTIF(E17:H17,"x")&lt;&gt;1,"▲","")</f>
        <v>▲</v>
      </c>
      <c r="J17" s="34" t="str">
        <f>IF(M17&lt;&gt;1,"",(IF(F17&lt;&gt;"",1/3,0)+IF(G17&lt;&gt;"",2/3,0)+IF(H17&lt;&gt;"",1,0))*L17/L$18*20)</f>
        <v/>
      </c>
      <c r="K17" s="20"/>
      <c r="L17" s="35">
        <v>4</v>
      </c>
      <c r="M17">
        <f>COUNTA(E17:H17)</f>
        <v>0</v>
      </c>
    </row>
    <row r="18" spans="1:13">
      <c r="A18" s="1"/>
      <c r="B18" s="36"/>
      <c r="C18" s="37"/>
      <c r="D18" s="38"/>
      <c r="E18" s="39"/>
      <c r="F18" s="39"/>
      <c r="G18" s="39"/>
      <c r="H18" s="39"/>
      <c r="I18" s="40">
        <f>COUNTBLANK(I9:I17)</f>
        <v>4</v>
      </c>
      <c r="J18" s="41" t="str">
        <f>IF(M18&lt;&gt;1,"",(IF(F18&lt;&gt;"",1/3,0)+IF(G18&lt;&gt;"",2/3,0)+IF(H18&lt;&gt;"",1,0))*L18/L$18*20)</f>
        <v/>
      </c>
      <c r="K18" s="6"/>
      <c r="L18" s="42">
        <f>SUM(L9:L17)</f>
        <v>20</v>
      </c>
    </row>
    <row r="19" spans="1:13" ht="15" thickBot="1">
      <c r="A19" s="1"/>
      <c r="B19" s="1"/>
      <c r="C19" s="43"/>
      <c r="D19" s="44" t="s">
        <v>4</v>
      </c>
      <c r="E19" s="93" t="str">
        <f>IF(I18=9,J7,"Erreur")</f>
        <v>Erreur</v>
      </c>
      <c r="F19" s="93"/>
      <c r="G19" s="94" t="s">
        <v>5</v>
      </c>
      <c r="H19" s="94"/>
      <c r="I19" s="5"/>
      <c r="J19" s="45"/>
      <c r="K19" s="45"/>
      <c r="L19" s="7"/>
    </row>
    <row r="20" spans="1:13" ht="15" thickBot="1">
      <c r="A20" s="1"/>
      <c r="B20" s="1"/>
      <c r="C20" s="43"/>
      <c r="D20" s="44" t="s">
        <v>6</v>
      </c>
      <c r="E20" s="95">
        <v>0</v>
      </c>
      <c r="F20" s="95"/>
      <c r="G20" s="96" t="s">
        <v>7</v>
      </c>
      <c r="H20" s="96"/>
      <c r="I20" s="18"/>
      <c r="J20" s="6"/>
      <c r="K20" s="87"/>
      <c r="L20" s="87"/>
    </row>
    <row r="21" spans="1:13" ht="15" thickBot="1">
      <c r="A21" s="1"/>
      <c r="B21" s="88" t="s">
        <v>8</v>
      </c>
      <c r="C21" s="88"/>
      <c r="D21" s="88"/>
      <c r="E21" s="88"/>
      <c r="F21" s="88"/>
      <c r="G21" s="88"/>
      <c r="H21" s="88"/>
      <c r="I21" s="46"/>
      <c r="J21" s="6"/>
      <c r="K21" s="6"/>
      <c r="L21" s="7"/>
    </row>
    <row r="22" spans="1:13" ht="78.599999999999994" customHeight="1" thickBot="1">
      <c r="A22" s="1"/>
      <c r="B22" s="47" t="s">
        <v>9</v>
      </c>
      <c r="C22" s="48"/>
      <c r="D22" s="49" t="s">
        <v>10</v>
      </c>
      <c r="E22" s="50"/>
      <c r="F22" s="50"/>
      <c r="G22" s="50"/>
      <c r="H22" s="50"/>
      <c r="I22" s="51" t="s">
        <v>11</v>
      </c>
      <c r="J22" s="6"/>
      <c r="K22" s="52"/>
      <c r="L22" s="7"/>
    </row>
    <row r="23" spans="1:13">
      <c r="A23" s="1"/>
      <c r="B23" s="89" t="s">
        <v>12</v>
      </c>
      <c r="C23" s="89"/>
      <c r="D23" s="90" t="s">
        <v>13</v>
      </c>
      <c r="E23" s="90"/>
      <c r="F23" s="90"/>
      <c r="G23" s="90"/>
      <c r="H23" s="90"/>
      <c r="I23" s="53"/>
      <c r="J23" s="52"/>
      <c r="K23" s="52"/>
      <c r="L23" s="7"/>
    </row>
    <row r="24" spans="1:13" ht="44.4" customHeight="1" thickBot="1">
      <c r="A24" s="1"/>
      <c r="B24" s="91"/>
      <c r="C24" s="91"/>
      <c r="D24" s="92"/>
      <c r="E24" s="92"/>
      <c r="F24" s="92"/>
      <c r="G24" s="92"/>
      <c r="H24" s="92"/>
      <c r="I24" s="53"/>
      <c r="J24" s="52"/>
      <c r="K24" s="52"/>
      <c r="L24" s="7"/>
    </row>
    <row r="25" spans="1:13">
      <c r="A25" s="1"/>
      <c r="B25" s="83" t="s">
        <v>14</v>
      </c>
      <c r="C25" s="83"/>
      <c r="D25" s="84" t="s">
        <v>15</v>
      </c>
      <c r="E25" s="84"/>
      <c r="F25" s="84"/>
      <c r="G25" s="84"/>
      <c r="H25" s="84"/>
      <c r="I25" s="54"/>
      <c r="J25" s="55"/>
      <c r="K25" s="55"/>
      <c r="L25" s="7"/>
    </row>
    <row r="26" spans="1:13" ht="15" thickBot="1">
      <c r="A26" s="1"/>
      <c r="B26" s="85"/>
      <c r="C26" s="85"/>
      <c r="D26" s="86"/>
      <c r="E26" s="86"/>
      <c r="F26" s="86"/>
      <c r="G26" s="86"/>
      <c r="H26" s="86"/>
      <c r="I26" s="56"/>
      <c r="J26" s="57"/>
      <c r="K26" s="57"/>
      <c r="L26" s="7"/>
    </row>
    <row r="27" spans="1:13" ht="15" thickBot="1">
      <c r="A27" s="1"/>
      <c r="B27" s="85"/>
      <c r="C27" s="85"/>
      <c r="D27" s="86"/>
      <c r="E27" s="86"/>
      <c r="F27" s="86"/>
      <c r="G27" s="86"/>
      <c r="H27" s="86"/>
      <c r="I27" s="56"/>
      <c r="J27" s="57"/>
      <c r="K27" s="57"/>
      <c r="L27" s="1"/>
    </row>
    <row r="28" spans="1:13" ht="15" thickBot="1">
      <c r="A28" s="1"/>
      <c r="B28" s="85"/>
      <c r="C28" s="85"/>
      <c r="D28" s="86"/>
      <c r="E28" s="86"/>
      <c r="F28" s="86"/>
      <c r="G28" s="86"/>
      <c r="H28" s="86"/>
      <c r="I28" s="56"/>
      <c r="J28" s="6"/>
      <c r="K28" s="6"/>
      <c r="L28" s="1"/>
    </row>
    <row r="41" spans="3:4">
      <c r="C41" s="81"/>
      <c r="D41" s="81"/>
    </row>
    <row r="42" spans="3:4">
      <c r="D42" s="70"/>
    </row>
    <row r="43" spans="3:4">
      <c r="D43" s="70"/>
    </row>
    <row r="44" spans="3:4">
      <c r="D44" s="70"/>
    </row>
    <row r="45" spans="3:4">
      <c r="D45" s="70"/>
    </row>
    <row r="47" spans="3:4">
      <c r="C47" s="81"/>
      <c r="D47" s="81"/>
    </row>
    <row r="48" spans="3:4">
      <c r="D48" s="70"/>
    </row>
    <row r="49" spans="3:8">
      <c r="D49" s="70"/>
    </row>
    <row r="50" spans="3:8">
      <c r="D50" s="70"/>
    </row>
    <row r="51" spans="3:8">
      <c r="D51" s="70"/>
    </row>
    <row r="54" spans="3:8">
      <c r="C54" s="81"/>
      <c r="D54" s="81"/>
    </row>
    <row r="55" spans="3:8">
      <c r="D55" s="70"/>
    </row>
    <row r="56" spans="3:8">
      <c r="D56" s="70"/>
    </row>
    <row r="57" spans="3:8">
      <c r="D57" s="70"/>
    </row>
    <row r="58" spans="3:8">
      <c r="D58" s="70"/>
    </row>
    <row r="61" spans="3:8">
      <c r="C61" s="81"/>
      <c r="D61" s="81"/>
      <c r="G61" s="81"/>
      <c r="H61" s="81"/>
    </row>
    <row r="62" spans="3:8">
      <c r="D62" s="70"/>
      <c r="H62" s="70"/>
    </row>
    <row r="63" spans="3:8">
      <c r="D63" s="70"/>
      <c r="H63" s="70"/>
    </row>
    <row r="64" spans="3:8">
      <c r="D64" s="70"/>
      <c r="H64" s="70"/>
    </row>
    <row r="65" spans="3:10">
      <c r="D65" s="70"/>
      <c r="H65" s="70"/>
    </row>
    <row r="67" spans="3:10">
      <c r="E67" s="82"/>
      <c r="F67" s="82"/>
      <c r="G67" s="82"/>
      <c r="H67" s="82"/>
      <c r="I67" s="82"/>
      <c r="J67" s="82"/>
    </row>
    <row r="68" spans="3:10">
      <c r="E68" s="56"/>
      <c r="F68" s="56"/>
      <c r="G68" s="56"/>
      <c r="H68" s="56"/>
      <c r="I68" s="56"/>
      <c r="J68" s="56"/>
    </row>
    <row r="70" spans="3:10">
      <c r="C70" s="81"/>
      <c r="D70" s="81"/>
    </row>
    <row r="71" spans="3:10">
      <c r="D71" s="70"/>
      <c r="G71" s="71"/>
      <c r="H71" s="70"/>
    </row>
    <row r="72" spans="3:10">
      <c r="D72" s="70"/>
    </row>
    <row r="73" spans="3:10">
      <c r="D73" s="70"/>
    </row>
    <row r="74" spans="3:10">
      <c r="D74" s="70"/>
    </row>
  </sheetData>
  <mergeCells count="30">
    <mergeCell ref="B2:H2"/>
    <mergeCell ref="J5:J6"/>
    <mergeCell ref="B7:H7"/>
    <mergeCell ref="B6:D6"/>
    <mergeCell ref="K20:L20"/>
    <mergeCell ref="B21:H21"/>
    <mergeCell ref="B23:C23"/>
    <mergeCell ref="D23:H23"/>
    <mergeCell ref="B24:C24"/>
    <mergeCell ref="D24:H24"/>
    <mergeCell ref="E20:F20"/>
    <mergeCell ref="G20:H20"/>
    <mergeCell ref="C70:D70"/>
    <mergeCell ref="B25:C25"/>
    <mergeCell ref="D25:H25"/>
    <mergeCell ref="B26:C28"/>
    <mergeCell ref="D26:H28"/>
    <mergeCell ref="C41:D41"/>
    <mergeCell ref="C47:D47"/>
    <mergeCell ref="C54:D54"/>
    <mergeCell ref="C61:D61"/>
    <mergeCell ref="B8:D9"/>
    <mergeCell ref="B10:D11"/>
    <mergeCell ref="B12:D13"/>
    <mergeCell ref="G61:H61"/>
    <mergeCell ref="E67:J67"/>
    <mergeCell ref="E19:F19"/>
    <mergeCell ref="G19:H19"/>
    <mergeCell ref="B14:D15"/>
    <mergeCell ref="B16:D17"/>
  </mergeCells>
  <conditionalFormatting sqref="C22 B24:H24 B26:H28">
    <cfRule type="cellIs" dxfId="1" priority="2" operator="equal">
      <formula>A18="&lt;&gt;"</formula>
    </cfRule>
  </conditionalFormatting>
  <conditionalFormatting sqref="E20:F20">
    <cfRule type="cellIs" dxfId="0" priority="1" operator="equal">
      <formula>$E$20="&lt;&gt;"</formula>
    </cfRule>
  </conditionalFormatting>
  <dataValidations count="1">
    <dataValidation type="date" showInputMessage="1" showErrorMessage="1" errorTitle="Format de date invalide" error="Veuillez saisir une date valide (ex. : 18/02/2026)." promptTitle="Date de passation" prompt="Saisissez la date au format JJ/MM/AAAA." sqref="C22" xr:uid="{68231545-0505-4C38-8578-E6D67A31902D}">
      <formula1>36526</formula1>
      <formula2>73049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228C-1C75-4AF2-8349-28C7F5AF374F}">
  <dimension ref="A1"/>
  <sheetViews>
    <sheetView workbookViewId="0">
      <selection activeCell="L16" sqref="L16"/>
    </sheetView>
  </sheetViews>
  <sheetFormatPr baseColWidth="10"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Notation</vt:lpstr>
      <vt:lpstr>Profil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srill31@gmail.com</dc:creator>
  <cp:lastModifiedBy>srill31@gmail.com</cp:lastModifiedBy>
  <dcterms:created xsi:type="dcterms:W3CDTF">2026-05-20T07:59:34Z</dcterms:created>
  <dcterms:modified xsi:type="dcterms:W3CDTF">2026-05-20T09:07:30Z</dcterms:modified>
</cp:coreProperties>
</file>