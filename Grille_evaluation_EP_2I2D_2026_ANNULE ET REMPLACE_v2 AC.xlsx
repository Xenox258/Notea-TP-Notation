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tb/SynologyDrive/R2025/BANQUE STI2D/GRILLES EVAL EP 2I2D/"/>
    </mc:Choice>
  </mc:AlternateContent>
  <xr:revisionPtr revIDLastSave="0" documentId="13_ncr:1_{F69F0F54-DA4C-104E-853F-09636310C02C}" xr6:coauthVersionLast="47" xr6:coauthVersionMax="47" xr10:uidLastSave="{00000000-0000-0000-0000-000000000000}"/>
  <workbookProtection workbookAlgorithmName="SHA-512" workbookHashValue="w0YfgAokGCj/Z+XnxkuWNOmGqunAstaQCZrMhKG7bYsc9SRRq1eJgf7peDDvP3Ql35e6O9UvQbJJLFHSvHiT9w==" workbookSaltValue="yBdScilY2UERZ2vbsQBwXA==" workbookSpinCount="100000" lockStructure="1"/>
  <bookViews>
    <workbookView xWindow="3240" yWindow="900" windowWidth="27960" windowHeight="25920" tabRatio="500" xr2:uid="{00000000-000D-0000-FFFF-FFFF00000000}"/>
  </bookViews>
  <sheets>
    <sheet name="Notice" sheetId="4" r:id="rId1"/>
    <sheet name="Grille" sheetId="1" r:id="rId2"/>
    <sheet name="Descripteurs" sheetId="2" r:id="rId3"/>
    <sheet name="Liste sujets" sheetId="3" state="hidden" r:id="rId4"/>
  </sheets>
  <definedNames>
    <definedName name="_xlnm.Print_Area" localSheetId="1">Grille!$A$1:$J$33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1" i="1" l="1"/>
  <c r="M20" i="1"/>
  <c r="M19" i="1"/>
  <c r="M18" i="1"/>
  <c r="M17" i="1"/>
  <c r="M16" i="1"/>
  <c r="M15" i="1"/>
  <c r="M14" i="1"/>
  <c r="M12" i="1"/>
  <c r="M11" i="1"/>
  <c r="M10" i="1"/>
  <c r="N22" i="1"/>
  <c r="K22" i="1" s="1"/>
  <c r="N21" i="1"/>
  <c r="J21" i="1"/>
  <c r="N20" i="1"/>
  <c r="J20" i="1"/>
  <c r="N19" i="1"/>
  <c r="J19" i="1"/>
  <c r="N18" i="1"/>
  <c r="J18" i="1"/>
  <c r="N17" i="1"/>
  <c r="J17" i="1"/>
  <c r="N16" i="1"/>
  <c r="J16" i="1"/>
  <c r="N15" i="1"/>
  <c r="J15" i="1"/>
  <c r="N14" i="1"/>
  <c r="J14" i="1"/>
  <c r="N13" i="1"/>
  <c r="M13" i="1"/>
  <c r="J13" i="1"/>
  <c r="N12" i="1"/>
  <c r="J12" i="1"/>
  <c r="N11" i="1"/>
  <c r="J11" i="1"/>
  <c r="N10" i="1"/>
  <c r="J10" i="1"/>
  <c r="N9" i="1"/>
  <c r="J9" i="1"/>
  <c r="N8" i="1"/>
  <c r="J8" i="1"/>
  <c r="M22" i="1" l="1"/>
  <c r="K11" i="1" s="1"/>
  <c r="J22" i="1"/>
  <c r="K21" i="1" l="1"/>
  <c r="K13" i="1"/>
  <c r="K18" i="1"/>
  <c r="K15" i="1"/>
  <c r="K14" i="1"/>
  <c r="K9" i="1"/>
  <c r="K20" i="1"/>
  <c r="K8" i="1"/>
  <c r="K16" i="1"/>
  <c r="K17" i="1"/>
  <c r="K12" i="1"/>
  <c r="K10" i="1"/>
  <c r="K19" i="1"/>
  <c r="K7" i="1" l="1"/>
  <c r="F23" i="1" s="1"/>
</calcChain>
</file>

<file path=xl/sharedStrings.xml><?xml version="1.0" encoding="utf-8"?>
<sst xmlns="http://schemas.openxmlformats.org/spreadsheetml/2006/main" count="233" uniqueCount="212">
  <si>
    <t>SESSION :</t>
  </si>
  <si>
    <t>2I2D - Grille d'évaluation de l'épreuve pratique</t>
  </si>
  <si>
    <t>Note brute /20</t>
  </si>
  <si>
    <t>Compétences évaluées</t>
  </si>
  <si>
    <t>Critères d'évaluation</t>
  </si>
  <si>
    <t>NON EVALUE DANS LE SUJET</t>
  </si>
  <si>
    <t>3/3</t>
  </si>
  <si>
    <t>Pondération</t>
  </si>
  <si>
    <t>Analyser</t>
  </si>
  <si>
    <t>Appropriation du contexte</t>
  </si>
  <si>
    <t>c</t>
  </si>
  <si>
    <t>Appropriation de la problématique technique globale</t>
  </si>
  <si>
    <t>Concevoir</t>
  </si>
  <si>
    <t>Identification du problème technique à résoudre</t>
  </si>
  <si>
    <t>Proposition d'une solution technique pertinente</t>
  </si>
  <si>
    <t>Utilisation des outils de conception (schémas, logiciels, …) en autonomie</t>
  </si>
  <si>
    <t>Respect des contraintes du cahier des charges</t>
  </si>
  <si>
    <t>Simuler</t>
  </si>
  <si>
    <t>Identification et paramétrage correct de la simulation</t>
  </si>
  <si>
    <t>Mise en œuvre de la simulation en autonomie</t>
  </si>
  <si>
    <t>Interprétation des résultats de simulation</t>
  </si>
  <si>
    <t>Analyse critique des résultats de simulation</t>
  </si>
  <si>
    <t>Expérimenter</t>
  </si>
  <si>
    <t>Identification de la performance ou de la fonctionnalité</t>
  </si>
  <si>
    <t>Mise en œuvre d'un protocole en autonomie</t>
  </si>
  <si>
    <t>Collecte et organisation des données</t>
  </si>
  <si>
    <t>Analyse critique des résultats d'expérimentation</t>
  </si>
  <si>
    <t>Note brute obtenue par calcul automatique (tous les indicateurs doivent être renseignés) :</t>
  </si>
  <si>
    <t xml:space="preserve"> /20</t>
  </si>
  <si>
    <t>Note sur 20 proposée au jury* :</t>
  </si>
  <si>
    <t>/20</t>
  </si>
  <si>
    <t>* La note est arrondie au point entier, si les examinateurs le souhaitent, au point supérieur</t>
  </si>
  <si>
    <t xml:space="preserve">DATE </t>
  </si>
  <si>
    <t></t>
  </si>
  <si>
    <t>Nom et prénom du candidat</t>
  </si>
  <si>
    <t>Référence du sujet</t>
  </si>
  <si>
    <t>Nom et prénom de l'évaluateur / Signature</t>
  </si>
  <si>
    <t>Appréciation globale</t>
  </si>
  <si>
    <t>Descripteurs indicatifs des niveaux de performance</t>
  </si>
  <si>
    <t>Ne parvient pas à s'approprier le contexte</t>
  </si>
  <si>
    <t>S'approprie partiellement le contexte</t>
  </si>
  <si>
    <t>S'approprie correctement le contexte</t>
  </si>
  <si>
    <t>Est en mesure de restituer clairement le contexte</t>
  </si>
  <si>
    <t>Ne parvient pas à s'approprier la problématique technique</t>
  </si>
  <si>
    <t>S'approprie partiellement la problématique technique</t>
  </si>
  <si>
    <t>S'approprie correctement la problématique technique</t>
  </si>
  <si>
    <t>Est en mesure de restituer clairement la problématique technique</t>
  </si>
  <si>
    <t>N’identifie pas de problème technique</t>
  </si>
  <si>
    <t>N'identifie pas le problème technique de l'étude</t>
  </si>
  <si>
    <t>Identifie partiellement le problème technique</t>
  </si>
  <si>
    <t>Identifie correctement le problème technique</t>
  </si>
  <si>
    <t>Ne propose pas de solution</t>
  </si>
  <si>
    <t>Propose une solution technique peu réaliste</t>
  </si>
  <si>
    <t>Utilise l’outil correctement mais avec de l'aide</t>
  </si>
  <si>
    <t>Utilise l’outil correctement en autonomie.</t>
  </si>
  <si>
    <t>Respecte quelques contraintes</t>
  </si>
  <si>
    <t>Respecte l’essentiel des contraintes</t>
  </si>
  <si>
    <t>Respecte la totalité des contraintes</t>
  </si>
  <si>
    <t>Identification et/ou paramétrage correct de la simulation</t>
  </si>
  <si>
    <t>N'identifie pas et ne paramètre pas la simulation</t>
  </si>
  <si>
    <t>Identifie partiellement mais ne paramètre pas correctement la simulation</t>
  </si>
  <si>
    <t>Identifie et paramètre partiellement la simulation</t>
  </si>
  <si>
    <t>Identifie et paramètre correctement la simulation</t>
  </si>
  <si>
    <t>Analyse peu pertinente au regard des objectifs de la simulation</t>
  </si>
  <si>
    <t>Analyse partielle au regard des objectifs de la simulation</t>
  </si>
  <si>
    <t>Analyse pertinente  au regard des objectifs de la simulation</t>
  </si>
  <si>
    <t>N’identifie pas de performance ou de fonctionnalité</t>
  </si>
  <si>
    <t>N’identifie pas la performance ou la fonctionnalité de l'étude</t>
  </si>
  <si>
    <t>Identifie partiellement la performance ou la fonctionnalité de l'étude</t>
  </si>
  <si>
    <t>Identifie correctement la performance ou la fonctionnalité</t>
  </si>
  <si>
    <t>Ne parvient pas à mettre en œuvre un protocole</t>
  </si>
  <si>
    <t>Met en œuvre partiellement le protocole avec une aide importante</t>
  </si>
  <si>
    <t>Met en œuvre le protocole avec de l'aide</t>
  </si>
  <si>
    <t>Met en œuvre le protocole en autonomie</t>
  </si>
  <si>
    <t>Ne collecte aucune donnée</t>
  </si>
  <si>
    <t>Collecte partiellement les données</t>
  </si>
  <si>
    <t>Collecte et organise partiellement les données</t>
  </si>
  <si>
    <t>Collecte et organise correctement les données</t>
  </si>
  <si>
    <t>Ne propose pas d'analyse</t>
  </si>
  <si>
    <t>Analyse peu pertinente au regard des objectifs de l'expérimentation</t>
  </si>
  <si>
    <t>Analyse partielle au regard des objectifs de l'expérimentation</t>
  </si>
  <si>
    <t>Analyse pertinente au regard des objectifs de l'expérimentation</t>
  </si>
  <si>
    <t>01A</t>
  </si>
  <si>
    <t>01B</t>
  </si>
  <si>
    <t>01C</t>
  </si>
  <si>
    <t>02A</t>
  </si>
  <si>
    <t>02B</t>
  </si>
  <si>
    <t>02C</t>
  </si>
  <si>
    <t>03A</t>
  </si>
  <si>
    <t>03B</t>
  </si>
  <si>
    <t>03C</t>
  </si>
  <si>
    <t>04A</t>
  </si>
  <si>
    <t>04B</t>
  </si>
  <si>
    <t>04C</t>
  </si>
  <si>
    <t>05A</t>
  </si>
  <si>
    <t>05B</t>
  </si>
  <si>
    <t>06A</t>
  </si>
  <si>
    <t>06B</t>
  </si>
  <si>
    <t>06C</t>
  </si>
  <si>
    <t>07A</t>
  </si>
  <si>
    <t>07B</t>
  </si>
  <si>
    <t>07C</t>
  </si>
  <si>
    <t>08A</t>
  </si>
  <si>
    <t>08B</t>
  </si>
  <si>
    <t>08C</t>
  </si>
  <si>
    <t>09A</t>
  </si>
  <si>
    <t>09B</t>
  </si>
  <si>
    <t>09C</t>
  </si>
  <si>
    <t>10A</t>
  </si>
  <si>
    <t>10B</t>
  </si>
  <si>
    <t>10C</t>
  </si>
  <si>
    <t>11A</t>
  </si>
  <si>
    <t>11C</t>
  </si>
  <si>
    <t>12A</t>
  </si>
  <si>
    <t>12B</t>
  </si>
  <si>
    <t>12C</t>
  </si>
  <si>
    <t>13A</t>
  </si>
  <si>
    <t>13B</t>
  </si>
  <si>
    <t>14A</t>
  </si>
  <si>
    <t>14C</t>
  </si>
  <si>
    <t>15A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</si>
  <si>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</si>
  <si>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</si>
  <si>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</si>
  <si>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</si>
  <si>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</si>
  <si>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</si>
  <si>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</si>
  <si>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</si>
  <si>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</si>
  <si>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</si>
  <si>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</si>
  <si>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</si>
  <si>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</si>
  <si>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</si>
  <si>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</si>
  <si>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</si>
  <si>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</si>
  <si>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</si>
  <si>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</si>
  <si>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</si>
  <si>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</si>
  <si>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</si>
  <si>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</si>
  <si>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</si>
  <si>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</si>
  <si>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</si>
  <si>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</si>
  <si>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</si>
  <si>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</si>
  <si>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</si>
  <si>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</si>
  <si>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</si>
  <si>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</si>
  <si>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</si>
  <si>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</si>
  <si>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28A</t>
  </si>
  <si>
    <t>28B</t>
  </si>
  <si>
    <t>28C</t>
  </si>
  <si>
    <t>29A</t>
  </si>
  <si>
    <t>29B</t>
  </si>
  <si>
    <t>29C</t>
  </si>
  <si>
    <t>30A</t>
  </si>
  <si>
    <t>30B</t>
  </si>
  <si>
    <t>30C</t>
  </si>
  <si>
    <t>31A</t>
  </si>
  <si>
    <t>31B</t>
  </si>
  <si>
    <t>31C</t>
  </si>
  <si>
    <t>32A</t>
  </si>
  <si>
    <t>32B</t>
  </si>
  <si>
    <t>32C</t>
  </si>
  <si>
    <t>33A</t>
  </si>
  <si>
    <t>33B</t>
  </si>
  <si>
    <t>33C</t>
  </si>
  <si>
    <t>34A</t>
  </si>
  <si>
    <t>34B</t>
  </si>
  <si>
    <t>34C</t>
  </si>
  <si>
    <t>35A</t>
  </si>
  <si>
    <t>35B</t>
  </si>
  <si>
    <t>35C</t>
  </si>
  <si>
    <t>36A</t>
  </si>
  <si>
    <t>36B</t>
  </si>
  <si>
    <t>36C</t>
  </si>
  <si>
    <t>37A</t>
  </si>
  <si>
    <t>37B</t>
  </si>
  <si>
    <t>37C</t>
  </si>
  <si>
    <t>38A</t>
  </si>
  <si>
    <t>38B</t>
  </si>
  <si>
    <t>38C</t>
  </si>
  <si>
    <t>ATTENTION, si le symbole ◄ apparait la colonne J c'est qu'il y a soit plus d'une valeur donnée à l'indicateur, soit pas de valeur, il faut alors choisir laquelle retenir</t>
  </si>
  <si>
    <t>N’utilise pas l’outil ou produit un résultat inexploitable</t>
  </si>
  <si>
    <t>Ne respecte pas les contraintes essentielles</t>
  </si>
  <si>
    <t>Ne parvient pas à exécuter la simulation</t>
  </si>
  <si>
    <t>Ne propose pas d'interprétation</t>
  </si>
  <si>
    <t>Utilise l’outil avec aide importante et erreurs fréquentes</t>
  </si>
  <si>
    <t>Exécute la simulation partiellement avec aide importante</t>
  </si>
  <si>
    <t>Interprètation peu pertinente</t>
  </si>
  <si>
    <t>Exécute la simulation partiellement en autonomie 
ou exécute la simulation totalement avec de l'aide</t>
  </si>
  <si>
    <t>Interprète partiellement les résultats</t>
  </si>
  <si>
    <t>Interprète correctement les résultats</t>
  </si>
  <si>
    <t>Exécute la simulation en autonomie</t>
  </si>
  <si>
    <t>Propose une solution pertinente</t>
  </si>
  <si>
    <t xml:space="preserve">Toutes les cellules roses doivent être complétées : </t>
  </si>
  <si>
    <t>Dans la grille, chaque critère évalué doit être renseigné en plaçant un "x" dans la case correspondante. Un seul "x" doit être présent par critère évalué.</t>
  </si>
  <si>
    <t>Propose une solution réaliste partiellement définie</t>
  </si>
  <si>
    <r>
      <t xml:space="preserve">Ce fichier constitue la </t>
    </r>
    <r>
      <rPr>
        <b/>
        <sz val="12"/>
        <color theme="1"/>
        <rFont val="Calibri"/>
        <family val="2"/>
      </rPr>
      <t>grille d'évaluation d'un candidat à l'épreuve pratique de 2I2D.</t>
    </r>
    <r>
      <rPr>
        <sz val="12"/>
        <color theme="1"/>
        <rFont val="Calibri"/>
        <family val="2"/>
        <charset val="1"/>
      </rPr>
      <t xml:space="preserve">
- L'onglet "</t>
    </r>
    <r>
      <rPr>
        <b/>
        <sz val="12"/>
        <color theme="1"/>
        <rFont val="Calibri"/>
        <family val="2"/>
      </rPr>
      <t>Grille"</t>
    </r>
    <r>
      <rPr>
        <sz val="12"/>
        <color theme="1"/>
        <rFont val="Calibri"/>
        <family val="2"/>
        <charset val="1"/>
      </rPr>
      <t xml:space="preserve"> doit être complété pour chaque candidat.
- L'onglet "</t>
    </r>
    <r>
      <rPr>
        <b/>
        <sz val="12"/>
        <color theme="1"/>
        <rFont val="Calibri"/>
        <family val="2"/>
      </rPr>
      <t>Descripteurs</t>
    </r>
    <r>
      <rPr>
        <sz val="12"/>
        <color theme="1"/>
        <rFont val="Calibri"/>
        <family val="2"/>
        <charset val="1"/>
      </rPr>
      <t>" permet de guider l'examinateur dans sa décision d'évaluation.</t>
    </r>
  </si>
  <si>
    <r>
      <t>Colonne "</t>
    </r>
    <r>
      <rPr>
        <b/>
        <sz val="12"/>
        <color theme="1"/>
        <rFont val="Calibri"/>
        <family val="2"/>
      </rPr>
      <t>NON EVALUE DANS LE SUJET</t>
    </r>
    <r>
      <rPr>
        <sz val="12"/>
        <color theme="1"/>
        <rFont val="Calibri"/>
        <family val="2"/>
        <charset val="1"/>
      </rPr>
      <t>" : 
Selon le contenu du sujet, l'examinateur a la possibilité de neutraliser certains critères d'évaluation (jugés non évaluable en raison du questionnement présent dans le sujet). 
- Un seul critère par compétence (Concevoir, Simuler, Expérimenter) peut être neutralisé. 
- Les deux critères de la compétence Analyser doivent être évalués.
Pour neutraliser un critère, placer un "x" dans la colonne "NON EVALUE DANS LE SUJET".</t>
    </r>
  </si>
  <si>
    <t xml:space="preserve"> Référence du sujet (libellé du type 26_EP_2I2D_ACXX) ;</t>
  </si>
  <si>
    <t xml:space="preserve"> Nom et prénom de l'examinateur ; </t>
  </si>
  <si>
    <t xml:space="preserve"> Appréciation globale (permettant notamment d'expliquer les critères évalues par 0, 1 ou 2 ).</t>
  </si>
  <si>
    <t xml:space="preserve"> Date ;</t>
  </si>
  <si>
    <t xml:space="preserve"> Nom et prénom du candidat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</si>
</sst>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/?"/>
    <numFmt numFmtId="165" formatCode="0.0"/>
  </numFmts>
  <fonts count="43" x14ac:knownFonts="1"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FF"/>
      <name val="Arial"/>
      <family val="2"/>
      <charset val="1"/>
    </font>
    <font>
      <sz val="9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FFFFFF"/>
      <name val="Arial"/>
      <family val="2"/>
      <charset val="1"/>
    </font>
    <font>
      <b/>
      <sz val="18"/>
      <name val="Arial"/>
      <family val="2"/>
      <charset val="1"/>
    </font>
    <font>
      <b/>
      <sz val="12"/>
      <name val="Arial"/>
      <family val="2"/>
      <charset val="1"/>
    </font>
    <font>
      <b/>
      <sz val="16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2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9"/>
      <color rgb="FF0000FF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8"/>
      <name val="Arial"/>
      <family val="2"/>
      <charset val="1"/>
    </font>
    <font>
      <i/>
      <sz val="9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9"/>
      <color theme="1"/>
      <name val="Arial"/>
      <family val="2"/>
      <charset val="1"/>
    </font>
    <font>
      <sz val="18"/>
      <color theme="1"/>
      <name val="Arial"/>
      <family val="2"/>
      <charset val="1"/>
    </font>
    <font>
      <b/>
      <sz val="10"/>
      <color rgb="FFFF0000"/>
      <name val="Arial"/>
      <family val="2"/>
    </font>
    <font>
      <sz val="9"/>
      <color theme="0"/>
      <name val="Arial"/>
      <family val="2"/>
      <charset val="1"/>
    </font>
    <font>
      <i/>
      <sz val="10"/>
      <color rgb="FF0000FF"/>
      <name val="Arial"/>
      <family val="2"/>
      <charset val="1"/>
    </font>
    <font>
      <i/>
      <sz val="10"/>
      <color theme="0"/>
      <name val="Arial"/>
      <family val="2"/>
      <charset val="1"/>
    </font>
    <font>
      <b/>
      <i/>
      <sz val="8"/>
      <color rgb="FFFF0000"/>
      <name val="Arial"/>
      <family val="2"/>
    </font>
    <font>
      <b/>
      <i/>
      <sz val="8"/>
      <color rgb="FFFF0000"/>
      <name val="Arial"/>
      <family val="2"/>
      <charset val="1"/>
    </font>
    <font>
      <i/>
      <sz val="8"/>
      <color rgb="FFFF0000"/>
      <name val="Arial"/>
      <family val="2"/>
      <charset val="1"/>
    </font>
    <font>
      <b/>
      <sz val="10"/>
      <color rgb="FFFF0000"/>
      <name val="Wingdings"/>
      <charset val="2"/>
    </font>
    <font>
      <b/>
      <sz val="12"/>
      <name val="Calibri"/>
      <family val="2"/>
      <charset val="1"/>
    </font>
    <font>
      <sz val="9"/>
      <color rgb="FFFF0000"/>
      <name val="Arial Narrow"/>
      <family val="2"/>
      <charset val="1"/>
    </font>
    <font>
      <b/>
      <sz val="12"/>
      <color theme="1"/>
      <name val="Calibri"/>
      <family val="2"/>
      <charset val="1"/>
    </font>
    <font>
      <b/>
      <sz val="11"/>
      <name val="Arial"/>
      <family val="2"/>
      <charset val="1"/>
    </font>
    <font>
      <b/>
      <i/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theme="9" tint="0.79989013336588644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99"/>
        <bgColor rgb="FFFFFFC1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2" tint="-9.9978637043366805E-2"/>
        <bgColor rgb="FFDBEEF4"/>
      </patternFill>
    </fill>
    <fill>
      <patternFill patternType="solid">
        <fgColor rgb="FFFFC7CE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4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9" fontId="17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0" fontId="15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25" fillId="3" borderId="2" xfId="0" applyNumberFormat="1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0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17" fillId="4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15" fillId="5" borderId="2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64" fontId="39" fillId="0" borderId="2" xfId="0" applyNumberFormat="1" applyFont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0" fontId="41" fillId="0" borderId="2" xfId="0" applyFont="1" applyBorder="1"/>
    <xf numFmtId="0" fontId="15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left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left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left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left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left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1" fillId="12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5" fontId="15" fillId="0" borderId="9" xfId="0" applyNumberFormat="1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4" fillId="0" borderId="0" xfId="0" applyFont="1" applyAlignment="1">
      <alignment horizontal="right" vertical="center"/>
    </xf>
    <xf numFmtId="0" fontId="36" fillId="0" borderId="13" xfId="0" applyFont="1" applyBorder="1" applyAlignment="1" applyProtection="1">
      <alignment horizontal="center" vertical="center"/>
      <protection locked="0"/>
    </xf>
    <xf numFmtId="0" fontId="36" fillId="0" borderId="15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6" borderId="12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left" vertical="center"/>
    </xf>
    <xf numFmtId="0" fontId="27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00000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DBEEF4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DEA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1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ED33-DB55-4A23-B48C-8EA3C4F39774}">
  <dimension ref="A1:A11"/>
  <sheetViews>
    <sheetView tabSelected="1" zoomScale="132" zoomScaleNormal="132" workbookViewId="0">
      <selection activeCell="B4" sqref="B4"/>
    </sheetView>
  </sheetViews>
  <sheetFormatPr baseColWidth="10" defaultRowHeight="16" x14ac:dyDescent="0.2"/>
  <cols>
    <col min="1" max="1" width="82.1640625" style="127" customWidth="1"/>
  </cols>
  <sheetData>
    <row r="1" spans="1:1" ht="77.25" customHeight="1" x14ac:dyDescent="0.2">
      <c r="A1" s="127" t="s">
        <v>205</v>
      </c>
    </row>
    <row r="2" spans="1:1" ht="20.25" customHeight="1" x14ac:dyDescent="0.2">
      <c r="A2" s="128" t="s">
        <v>202</v>
      </c>
    </row>
    <row r="3" spans="1:1" ht="20.25" customHeight="1" x14ac:dyDescent="0.2">
      <c r="A3" s="128" t="s">
        <v>210</v>
      </c>
    </row>
    <row r="4" spans="1:1" ht="20.25" customHeight="1" x14ac:dyDescent="0.2">
      <c r="A4" s="128" t="s">
        <v>211</v>
      </c>
    </row>
    <row r="5" spans="1:1" ht="20.25" customHeight="1" x14ac:dyDescent="0.2">
      <c r="A5" s="128" t="s">
        <v>208</v>
      </c>
    </row>
    <row r="6" spans="1:1" ht="20.25" customHeight="1" x14ac:dyDescent="0.2">
      <c r="A6" s="128" t="s">
        <v>207</v>
      </c>
    </row>
    <row r="7" spans="1:1" ht="20.25" customHeight="1" x14ac:dyDescent="0.2">
      <c r="A7" s="128" t="s">
        <v>209</v>
      </c>
    </row>
    <row r="8" spans="1:1" ht="16.5" customHeight="1" x14ac:dyDescent="0.2"/>
    <row r="9" spans="1:1" ht="67.5" customHeight="1" x14ac:dyDescent="0.2">
      <c r="A9" s="129" t="s">
        <v>203</v>
      </c>
    </row>
    <row r="10" spans="1:1" ht="16.5" customHeight="1" x14ac:dyDescent="0.2"/>
    <row r="11" spans="1:1" ht="123.75" customHeight="1" x14ac:dyDescent="0.2">
      <c r="A11" s="130" t="s">
        <v>206</v>
      </c>
    </row>
  </sheetData>
  <sheetProtection algorithmName="SHA-512" hashValue="/B3kLIP6cZSVD/R4InSoElTsmXHIL6pEUDO+IkkeCAuVhVJiOn6TDsJ5B5tb9GmlLtEMyyu0yZO9OWi1Xt2Z8Q==" saltValue="ikXFFWhSfMfvwuMu4whC2Q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2"/>
  <sheetViews>
    <sheetView showGridLines="0" zoomScaleNormal="100" workbookViewId="0">
      <selection activeCell="E21" sqref="E21"/>
    </sheetView>
  </sheetViews>
  <sheetFormatPr baseColWidth="10" defaultColWidth="11.5" defaultRowHeight="12.75" customHeight="1" x14ac:dyDescent="0.2"/>
  <cols>
    <col min="1" max="1" width="4.5" style="3" customWidth="1"/>
    <col min="2" max="2" width="6.6640625" style="3" customWidth="1"/>
    <col min="3" max="3" width="16.1640625" style="4" customWidth="1"/>
    <col min="4" max="4" width="43.1640625" style="3" customWidth="1"/>
    <col min="5" max="5" width="7" style="5" customWidth="1"/>
    <col min="6" max="9" width="3.6640625" style="5" customWidth="1"/>
    <col min="10" max="10" width="2.1640625" style="6" customWidth="1"/>
    <col min="11" max="11" width="8.6640625" style="7" customWidth="1"/>
    <col min="12" max="12" width="2.6640625" style="7" customWidth="1"/>
    <col min="13" max="13" width="10.33203125" style="8" customWidth="1"/>
    <col min="14" max="14" width="8.6640625" style="9" hidden="1" customWidth="1"/>
    <col min="15" max="15" width="2.1640625" style="10" customWidth="1"/>
    <col min="16" max="16" width="10.6640625" style="11" customWidth="1"/>
    <col min="17" max="17" width="8.5" style="12" customWidth="1"/>
    <col min="18" max="26" width="11.5" style="13"/>
    <col min="27" max="29" width="11.5" style="14"/>
    <col min="30" max="16384" width="11.5" style="3"/>
  </cols>
  <sheetData>
    <row r="1" spans="1:29" ht="19.5" customHeight="1" x14ac:dyDescent="0.2">
      <c r="A1" s="14"/>
      <c r="B1" s="15" t="s">
        <v>0</v>
      </c>
      <c r="C1" s="16"/>
      <c r="D1" s="17">
        <v>2026</v>
      </c>
      <c r="E1" s="17"/>
      <c r="F1" s="6"/>
      <c r="G1" s="6"/>
      <c r="H1" s="6"/>
      <c r="I1" s="6"/>
    </row>
    <row r="2" spans="1:29" s="22" customFormat="1" ht="30" customHeight="1" x14ac:dyDescent="0.2">
      <c r="A2" s="18"/>
      <c r="B2" s="133" t="s">
        <v>1</v>
      </c>
      <c r="C2" s="133"/>
      <c r="D2" s="133"/>
      <c r="E2" s="133"/>
      <c r="F2" s="133"/>
      <c r="G2" s="133"/>
      <c r="H2" s="133"/>
      <c r="I2" s="133"/>
      <c r="J2" s="19"/>
      <c r="K2" s="19"/>
      <c r="L2" s="19"/>
      <c r="M2" s="19"/>
      <c r="N2" s="19"/>
      <c r="O2" s="19"/>
      <c r="P2" s="20"/>
      <c r="Q2" s="21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s="22" customFormat="1" ht="18" customHeight="1" x14ac:dyDescent="0.2">
      <c r="A3" s="18"/>
      <c r="B3" s="18"/>
      <c r="C3" s="23"/>
      <c r="D3" s="18"/>
      <c r="E3" s="26"/>
      <c r="F3" s="24"/>
      <c r="G3" s="25"/>
      <c r="H3" s="26"/>
      <c r="I3" s="26"/>
      <c r="J3" s="26"/>
      <c r="K3" s="27"/>
      <c r="L3" s="27"/>
      <c r="M3" s="28"/>
      <c r="N3" s="26"/>
      <c r="O3" s="29"/>
      <c r="P3" s="20"/>
      <c r="Q3" s="21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s="39" customFormat="1" ht="18" customHeight="1" x14ac:dyDescent="0.2">
      <c r="A4" s="30"/>
      <c r="B4" s="30"/>
      <c r="C4" s="31"/>
      <c r="D4" s="30"/>
      <c r="E4" s="2"/>
      <c r="F4" s="32"/>
      <c r="G4" s="33"/>
      <c r="H4" s="2"/>
      <c r="I4" s="2"/>
      <c r="J4" s="2"/>
      <c r="K4" s="34"/>
      <c r="L4" s="34"/>
      <c r="M4" s="35"/>
      <c r="N4" s="30"/>
      <c r="O4" s="36"/>
      <c r="P4" s="37"/>
      <c r="Q4" s="38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ht="19.5" customHeight="1" x14ac:dyDescent="0.2">
      <c r="A5" s="14"/>
      <c r="B5" s="14"/>
      <c r="C5" s="40"/>
      <c r="D5" s="41"/>
      <c r="E5" s="124"/>
      <c r="F5" s="42"/>
      <c r="G5" s="42"/>
      <c r="H5" s="42"/>
      <c r="I5" s="42"/>
      <c r="J5" s="42"/>
      <c r="K5" s="134" t="s">
        <v>2</v>
      </c>
      <c r="M5" s="43"/>
      <c r="O5" s="36"/>
      <c r="R5" s="14"/>
      <c r="S5" s="14"/>
      <c r="T5" s="14"/>
      <c r="U5" s="14"/>
      <c r="V5" s="14"/>
      <c r="W5" s="14"/>
      <c r="X5" s="14"/>
      <c r="Y5" s="14"/>
      <c r="Z5" s="14"/>
    </row>
    <row r="6" spans="1:29" ht="55.5" customHeight="1" x14ac:dyDescent="0.2">
      <c r="A6" s="14"/>
      <c r="B6" s="135" t="s">
        <v>3</v>
      </c>
      <c r="C6" s="135"/>
      <c r="D6" s="44" t="s">
        <v>4</v>
      </c>
      <c r="E6" s="45" t="s">
        <v>5</v>
      </c>
      <c r="F6" s="46">
        <v>0</v>
      </c>
      <c r="G6" s="47">
        <v>0.33333333333333298</v>
      </c>
      <c r="H6" s="47">
        <v>0.66666666666666696</v>
      </c>
      <c r="I6" s="48" t="s">
        <v>6</v>
      </c>
      <c r="J6" s="49"/>
      <c r="K6" s="134"/>
      <c r="M6" s="50"/>
      <c r="N6" s="51"/>
      <c r="O6" s="36"/>
      <c r="R6" s="14"/>
      <c r="S6" s="14"/>
      <c r="T6" s="14"/>
      <c r="U6" s="14"/>
      <c r="V6" s="14"/>
      <c r="W6" s="14"/>
      <c r="X6" s="14"/>
      <c r="Y6" s="14"/>
      <c r="Z6" s="14"/>
    </row>
    <row r="7" spans="1:29" ht="19.5" customHeight="1" x14ac:dyDescent="0.2">
      <c r="A7" s="14"/>
      <c r="B7" s="136"/>
      <c r="C7" s="136"/>
      <c r="D7" s="136"/>
      <c r="E7" s="136"/>
      <c r="F7" s="136"/>
      <c r="G7" s="136"/>
      <c r="H7" s="136"/>
      <c r="I7" s="136"/>
      <c r="J7" s="32"/>
      <c r="K7" s="52">
        <f>SUM(K8:K21)</f>
        <v>0</v>
      </c>
      <c r="L7" s="33"/>
      <c r="M7" s="53" t="s">
        <v>7</v>
      </c>
      <c r="N7" s="54"/>
      <c r="R7" s="14"/>
      <c r="S7" s="14"/>
      <c r="T7" s="14"/>
      <c r="U7" s="14"/>
      <c r="V7" s="14"/>
      <c r="W7" s="14"/>
      <c r="X7" s="14"/>
      <c r="Y7" s="14"/>
      <c r="Z7" s="14"/>
    </row>
    <row r="8" spans="1:29" ht="36.75" customHeight="1" x14ac:dyDescent="0.2">
      <c r="A8" s="14"/>
      <c r="B8" s="137" t="s">
        <v>8</v>
      </c>
      <c r="C8" s="137"/>
      <c r="D8" s="55" t="s">
        <v>9</v>
      </c>
      <c r="E8" s="131"/>
      <c r="F8" s="56"/>
      <c r="G8" s="56"/>
      <c r="H8" s="56"/>
      <c r="I8" s="57"/>
      <c r="J8" s="58" t="str">
        <f t="shared" ref="J8:J21" si="0">IF(COUNTIF(E8:I8,"x")&lt;&gt;1,"▲","")</f>
        <v>▲</v>
      </c>
      <c r="K8" s="59" t="str">
        <f t="shared" ref="K8:K22" si="1">IF(N8&lt;&gt;1,"",(IF(G8&lt;&gt;"",1/3,0)+IF(H8&lt;&gt;"",2/3,0)+IF(I8&lt;&gt;"",1,0))*M8/M$22*20)</f>
        <v/>
      </c>
      <c r="L8" s="33"/>
      <c r="M8" s="60">
        <v>1</v>
      </c>
      <c r="N8" s="61">
        <f t="shared" ref="N8:N22" si="2">COUNTA(E8:I8)</f>
        <v>0</v>
      </c>
      <c r="P8" s="11" t="s">
        <v>10</v>
      </c>
      <c r="Q8" s="62"/>
      <c r="R8" s="14"/>
      <c r="S8" s="14"/>
      <c r="T8" s="14"/>
      <c r="U8" s="14"/>
      <c r="V8" s="14"/>
      <c r="W8" s="14"/>
      <c r="X8" s="14"/>
      <c r="Y8" s="14"/>
      <c r="Z8" s="14"/>
    </row>
    <row r="9" spans="1:29" ht="36.75" customHeight="1" x14ac:dyDescent="0.2">
      <c r="A9" s="14"/>
      <c r="B9" s="137"/>
      <c r="C9" s="137"/>
      <c r="D9" s="63" t="s">
        <v>11</v>
      </c>
      <c r="E9" s="131"/>
      <c r="F9" s="56"/>
      <c r="G9" s="56"/>
      <c r="H9" s="56"/>
      <c r="I9" s="57"/>
      <c r="J9" s="58" t="str">
        <f t="shared" si="0"/>
        <v>▲</v>
      </c>
      <c r="K9" s="59" t="str">
        <f t="shared" si="1"/>
        <v/>
      </c>
      <c r="L9" s="33"/>
      <c r="M9" s="60">
        <v>1</v>
      </c>
      <c r="N9" s="61">
        <f t="shared" si="2"/>
        <v>0</v>
      </c>
      <c r="Q9" s="62"/>
      <c r="R9" s="14"/>
      <c r="S9" s="14"/>
      <c r="T9" s="14"/>
      <c r="U9" s="14"/>
      <c r="V9" s="14"/>
      <c r="W9" s="14"/>
      <c r="X9" s="14"/>
      <c r="Y9" s="14"/>
      <c r="Z9" s="14"/>
    </row>
    <row r="10" spans="1:29" ht="36.75" customHeight="1" x14ac:dyDescent="0.2">
      <c r="A10" s="14"/>
      <c r="B10" s="138" t="s">
        <v>12</v>
      </c>
      <c r="C10" s="138"/>
      <c r="D10" s="63" t="s">
        <v>13</v>
      </c>
      <c r="E10" s="132"/>
      <c r="F10" s="56"/>
      <c r="G10" s="56"/>
      <c r="H10" s="56"/>
      <c r="I10" s="57"/>
      <c r="J10" s="58" t="str">
        <f t="shared" si="0"/>
        <v>▲</v>
      </c>
      <c r="K10" s="59" t="str">
        <f t="shared" si="1"/>
        <v/>
      </c>
      <c r="L10" s="33"/>
      <c r="M10" s="60">
        <f>IF(UPPER(E10)="X",0,1)</f>
        <v>1</v>
      </c>
      <c r="N10" s="61">
        <f t="shared" si="2"/>
        <v>0</v>
      </c>
      <c r="Q10" s="62"/>
      <c r="R10" s="14"/>
      <c r="S10" s="14"/>
      <c r="T10" s="14"/>
      <c r="U10" s="14"/>
      <c r="V10" s="14"/>
      <c r="W10" s="14"/>
      <c r="X10" s="14"/>
      <c r="Y10" s="14"/>
      <c r="Z10" s="14"/>
    </row>
    <row r="11" spans="1:29" ht="36.75" customHeight="1" x14ac:dyDescent="0.2">
      <c r="A11" s="14"/>
      <c r="B11" s="138"/>
      <c r="C11" s="138"/>
      <c r="D11" s="63" t="s">
        <v>14</v>
      </c>
      <c r="E11" s="132"/>
      <c r="F11" s="56"/>
      <c r="G11" s="56"/>
      <c r="H11" s="56"/>
      <c r="I11" s="57"/>
      <c r="J11" s="58" t="str">
        <f t="shared" si="0"/>
        <v>▲</v>
      </c>
      <c r="K11" s="59" t="str">
        <f t="shared" si="1"/>
        <v/>
      </c>
      <c r="L11" s="33"/>
      <c r="M11" s="60">
        <f>IF(UPPER(E11)="X",0,1.5)</f>
        <v>1.5</v>
      </c>
      <c r="N11" s="61">
        <f t="shared" si="2"/>
        <v>0</v>
      </c>
      <c r="Q11" s="62"/>
      <c r="R11" s="14"/>
      <c r="S11" s="14"/>
      <c r="T11" s="14"/>
      <c r="U11" s="14"/>
      <c r="V11" s="14"/>
      <c r="W11" s="14"/>
      <c r="X11" s="14"/>
      <c r="Y11" s="14"/>
      <c r="Z11" s="14"/>
    </row>
    <row r="12" spans="1:29" ht="36.75" customHeight="1" x14ac:dyDescent="0.2">
      <c r="A12" s="14"/>
      <c r="B12" s="138"/>
      <c r="C12" s="138"/>
      <c r="D12" s="63" t="s">
        <v>15</v>
      </c>
      <c r="E12" s="132"/>
      <c r="F12" s="56"/>
      <c r="G12" s="56"/>
      <c r="H12" s="56"/>
      <c r="I12" s="57"/>
      <c r="J12" s="58" t="str">
        <f t="shared" si="0"/>
        <v>▲</v>
      </c>
      <c r="K12" s="59" t="str">
        <f t="shared" si="1"/>
        <v/>
      </c>
      <c r="L12" s="33"/>
      <c r="M12" s="60">
        <f>IF(UPPER(E12)="X",0,2)</f>
        <v>2</v>
      </c>
      <c r="N12" s="61">
        <f t="shared" si="2"/>
        <v>0</v>
      </c>
      <c r="Q12" s="62"/>
      <c r="R12" s="14"/>
      <c r="S12" s="14"/>
      <c r="T12" s="14"/>
      <c r="U12" s="14"/>
      <c r="V12" s="14"/>
      <c r="W12" s="14"/>
      <c r="X12" s="14"/>
      <c r="Y12" s="14"/>
      <c r="Z12" s="14"/>
    </row>
    <row r="13" spans="1:29" ht="36.75" customHeight="1" x14ac:dyDescent="0.2">
      <c r="A13" s="14"/>
      <c r="B13" s="138"/>
      <c r="C13" s="138"/>
      <c r="D13" s="63" t="s">
        <v>16</v>
      </c>
      <c r="E13" s="132"/>
      <c r="F13" s="56"/>
      <c r="G13" s="56"/>
      <c r="H13" s="56"/>
      <c r="I13" s="57"/>
      <c r="J13" s="58" t="str">
        <f t="shared" si="0"/>
        <v>▲</v>
      </c>
      <c r="K13" s="59" t="str">
        <f t="shared" si="1"/>
        <v/>
      </c>
      <c r="L13" s="33"/>
      <c r="M13" s="60">
        <f t="shared" ref="M13" si="3">IF(UPPER(E13)="X",0,1.5)</f>
        <v>1.5</v>
      </c>
      <c r="N13" s="61">
        <f t="shared" si="2"/>
        <v>0</v>
      </c>
      <c r="Q13" s="62"/>
      <c r="R13" s="14"/>
      <c r="S13" s="14"/>
      <c r="T13" s="14"/>
      <c r="U13" s="14"/>
      <c r="V13" s="14"/>
      <c r="W13" s="14"/>
      <c r="X13" s="14"/>
      <c r="Y13" s="14"/>
      <c r="Z13" s="14"/>
    </row>
    <row r="14" spans="1:29" ht="36.75" customHeight="1" x14ac:dyDescent="0.2">
      <c r="A14" s="14"/>
      <c r="B14" s="138" t="s">
        <v>17</v>
      </c>
      <c r="C14" s="138"/>
      <c r="D14" s="63" t="s">
        <v>18</v>
      </c>
      <c r="E14" s="132"/>
      <c r="F14" s="56"/>
      <c r="G14" s="56"/>
      <c r="H14" s="56"/>
      <c r="I14" s="57"/>
      <c r="J14" s="58" t="str">
        <f t="shared" si="0"/>
        <v>▲</v>
      </c>
      <c r="K14" s="59" t="str">
        <f t="shared" si="1"/>
        <v/>
      </c>
      <c r="L14" s="33"/>
      <c r="M14" s="60">
        <f>IF(UPPER(E14)="X",0,1)</f>
        <v>1</v>
      </c>
      <c r="N14" s="61">
        <f t="shared" si="2"/>
        <v>0</v>
      </c>
      <c r="Q14" s="62"/>
      <c r="R14" s="14"/>
      <c r="S14" s="14"/>
      <c r="T14" s="14"/>
      <c r="U14" s="14"/>
      <c r="V14" s="14"/>
      <c r="W14" s="14"/>
      <c r="X14" s="14"/>
      <c r="Y14" s="14"/>
      <c r="Z14" s="14"/>
    </row>
    <row r="15" spans="1:29" ht="36.75" customHeight="1" x14ac:dyDescent="0.2">
      <c r="A15" s="14"/>
      <c r="B15" s="138"/>
      <c r="C15" s="138"/>
      <c r="D15" s="63" t="s">
        <v>19</v>
      </c>
      <c r="E15" s="132"/>
      <c r="F15" s="56"/>
      <c r="G15" s="56"/>
      <c r="H15" s="56"/>
      <c r="I15" s="57"/>
      <c r="J15" s="58" t="str">
        <f t="shared" si="0"/>
        <v>▲</v>
      </c>
      <c r="K15" s="59" t="str">
        <f t="shared" si="1"/>
        <v/>
      </c>
      <c r="L15" s="33"/>
      <c r="M15" s="60">
        <f>IF(UPPER(E15)="X",0,2)</f>
        <v>2</v>
      </c>
      <c r="N15" s="61">
        <f t="shared" si="2"/>
        <v>0</v>
      </c>
      <c r="Q15" s="62"/>
      <c r="R15" s="14"/>
      <c r="S15" s="14"/>
      <c r="T15" s="14"/>
      <c r="U15" s="14"/>
      <c r="V15" s="14"/>
      <c r="W15" s="14"/>
      <c r="X15" s="14"/>
      <c r="Y15" s="14"/>
      <c r="Z15" s="14"/>
    </row>
    <row r="16" spans="1:29" ht="36.75" customHeight="1" x14ac:dyDescent="0.2">
      <c r="A16" s="14"/>
      <c r="B16" s="138"/>
      <c r="C16" s="138"/>
      <c r="D16" s="63" t="s">
        <v>20</v>
      </c>
      <c r="E16" s="132"/>
      <c r="F16" s="56"/>
      <c r="G16" s="56"/>
      <c r="H16" s="56"/>
      <c r="I16" s="57"/>
      <c r="J16" s="58" t="str">
        <f t="shared" si="0"/>
        <v>▲</v>
      </c>
      <c r="K16" s="59" t="str">
        <f t="shared" si="1"/>
        <v/>
      </c>
      <c r="L16" s="33"/>
      <c r="M16" s="60">
        <f>IF(UPPER(E16)="X",0,2)</f>
        <v>2</v>
      </c>
      <c r="N16" s="61">
        <f t="shared" si="2"/>
        <v>0</v>
      </c>
      <c r="Q16" s="62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36.75" customHeight="1" x14ac:dyDescent="0.2">
      <c r="A17" s="14"/>
      <c r="B17" s="138"/>
      <c r="C17" s="138"/>
      <c r="D17" s="63" t="s">
        <v>21</v>
      </c>
      <c r="E17" s="132"/>
      <c r="F17" s="56"/>
      <c r="G17" s="56"/>
      <c r="H17" s="56"/>
      <c r="I17" s="57"/>
      <c r="J17" s="58" t="str">
        <f t="shared" si="0"/>
        <v>▲</v>
      </c>
      <c r="K17" s="59" t="str">
        <f t="shared" si="1"/>
        <v/>
      </c>
      <c r="L17" s="33"/>
      <c r="M17" s="60">
        <f>IF(UPPER(E17)="X",0,1)</f>
        <v>1</v>
      </c>
      <c r="N17" s="61">
        <f t="shared" si="2"/>
        <v>0</v>
      </c>
      <c r="Q17" s="62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6.75" customHeight="1" x14ac:dyDescent="0.2">
      <c r="A18" s="14"/>
      <c r="B18" s="138" t="s">
        <v>22</v>
      </c>
      <c r="C18" s="138"/>
      <c r="D18" s="63" t="s">
        <v>23</v>
      </c>
      <c r="E18" s="132"/>
      <c r="F18" s="56"/>
      <c r="G18" s="56"/>
      <c r="H18" s="56"/>
      <c r="I18" s="57"/>
      <c r="J18" s="58" t="str">
        <f t="shared" si="0"/>
        <v>▲</v>
      </c>
      <c r="K18" s="59" t="str">
        <f t="shared" si="1"/>
        <v/>
      </c>
      <c r="L18" s="33"/>
      <c r="M18" s="60">
        <f>IF(UPPER(E18)="X",0,1)</f>
        <v>1</v>
      </c>
      <c r="N18" s="61">
        <f t="shared" si="2"/>
        <v>0</v>
      </c>
      <c r="Q18" s="62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36.75" customHeight="1" x14ac:dyDescent="0.2">
      <c r="A19" s="14"/>
      <c r="B19" s="138"/>
      <c r="C19" s="138"/>
      <c r="D19" s="63" t="s">
        <v>24</v>
      </c>
      <c r="E19" s="132"/>
      <c r="F19" s="56"/>
      <c r="G19" s="56"/>
      <c r="H19" s="56"/>
      <c r="I19" s="57"/>
      <c r="J19" s="58" t="str">
        <f t="shared" si="0"/>
        <v>▲</v>
      </c>
      <c r="K19" s="59" t="str">
        <f t="shared" si="1"/>
        <v/>
      </c>
      <c r="L19" s="33"/>
      <c r="M19" s="60">
        <f>IF(UPPER(E19)="X",0,2)</f>
        <v>2</v>
      </c>
      <c r="N19" s="61">
        <f t="shared" si="2"/>
        <v>0</v>
      </c>
      <c r="Q19" s="62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6.75" customHeight="1" x14ac:dyDescent="0.2">
      <c r="A20" s="14"/>
      <c r="B20" s="138"/>
      <c r="C20" s="138"/>
      <c r="D20" s="63" t="s">
        <v>25</v>
      </c>
      <c r="E20" s="132"/>
      <c r="F20" s="56"/>
      <c r="G20" s="56"/>
      <c r="H20" s="56"/>
      <c r="I20" s="57"/>
      <c r="J20" s="58" t="str">
        <f t="shared" si="0"/>
        <v>▲</v>
      </c>
      <c r="K20" s="59" t="str">
        <f t="shared" si="1"/>
        <v/>
      </c>
      <c r="L20" s="33"/>
      <c r="M20" s="60">
        <f>IF(UPPER(E20)="X",0,2)</f>
        <v>2</v>
      </c>
      <c r="N20" s="61">
        <f t="shared" si="2"/>
        <v>0</v>
      </c>
      <c r="Q20" s="62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6.75" customHeight="1" x14ac:dyDescent="0.2">
      <c r="A21" s="14"/>
      <c r="B21" s="138"/>
      <c r="C21" s="138"/>
      <c r="D21" s="63" t="s">
        <v>26</v>
      </c>
      <c r="E21" s="132"/>
      <c r="F21" s="56"/>
      <c r="G21" s="56"/>
      <c r="H21" s="56"/>
      <c r="I21" s="57"/>
      <c r="J21" s="58" t="str">
        <f t="shared" si="0"/>
        <v>▲</v>
      </c>
      <c r="K21" s="59" t="str">
        <f t="shared" si="1"/>
        <v/>
      </c>
      <c r="L21" s="33"/>
      <c r="M21" s="60">
        <f>IF(UPPER(E21)="X",0,1)</f>
        <v>1</v>
      </c>
      <c r="N21" s="61">
        <f t="shared" si="2"/>
        <v>0</v>
      </c>
      <c r="Q21" s="62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9.5" customHeight="1" x14ac:dyDescent="0.2">
      <c r="A22" s="14"/>
      <c r="B22" s="64"/>
      <c r="C22" s="65"/>
      <c r="D22" s="66"/>
      <c r="E22" s="125"/>
      <c r="F22" s="67"/>
      <c r="G22" s="67"/>
      <c r="H22" s="67"/>
      <c r="I22" s="67"/>
      <c r="J22" s="68">
        <f>COUNTBLANK(J8:J21)</f>
        <v>0</v>
      </c>
      <c r="K22" s="69" t="str">
        <f t="shared" si="1"/>
        <v/>
      </c>
      <c r="M22" s="70">
        <f>SUM(M8:M21)</f>
        <v>20</v>
      </c>
      <c r="N22" s="9">
        <f t="shared" si="2"/>
        <v>0</v>
      </c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4.75" customHeight="1" x14ac:dyDescent="0.2">
      <c r="A23" s="14"/>
      <c r="B23" s="14"/>
      <c r="C23" s="62"/>
      <c r="D23" s="71" t="s">
        <v>27</v>
      </c>
      <c r="E23" s="6"/>
      <c r="F23" s="139" t="str">
        <f>IF(J22=14,K7,"Erreur")</f>
        <v>Erreur</v>
      </c>
      <c r="G23" s="139"/>
      <c r="H23" s="140" t="s">
        <v>28</v>
      </c>
      <c r="I23" s="140"/>
      <c r="K23" s="72"/>
      <c r="L23" s="72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8.75" customHeight="1" x14ac:dyDescent="0.2">
      <c r="A24" s="14"/>
      <c r="B24" s="14"/>
      <c r="C24" s="62"/>
      <c r="D24" s="71" t="s">
        <v>29</v>
      </c>
      <c r="E24" s="6"/>
      <c r="F24" s="141">
        <v>0</v>
      </c>
      <c r="G24" s="141"/>
      <c r="H24" s="142" t="s">
        <v>30</v>
      </c>
      <c r="I24" s="142"/>
      <c r="J24" s="2"/>
      <c r="L24" s="143"/>
      <c r="M24" s="143"/>
      <c r="N24" s="143"/>
      <c r="O24" s="143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5" customHeight="1" x14ac:dyDescent="0.2">
      <c r="A25" s="14"/>
      <c r="B25" s="144" t="s">
        <v>31</v>
      </c>
      <c r="C25" s="144"/>
      <c r="D25" s="144"/>
      <c r="E25" s="144"/>
      <c r="F25" s="144"/>
      <c r="G25" s="144"/>
      <c r="H25" s="144"/>
      <c r="I25" s="144"/>
      <c r="J25" s="1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5.25" customHeight="1" x14ac:dyDescent="0.2">
      <c r="A26" s="14"/>
      <c r="B26" s="73" t="s">
        <v>32</v>
      </c>
      <c r="C26" s="74"/>
      <c r="D26" s="75" t="s">
        <v>189</v>
      </c>
      <c r="E26" s="126"/>
      <c r="F26" s="76"/>
      <c r="G26" s="76"/>
      <c r="H26" s="76"/>
      <c r="I26" s="76"/>
      <c r="J26" s="77" t="s">
        <v>33</v>
      </c>
      <c r="L26" s="78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8" t="s">
        <v>34</v>
      </c>
      <c r="C27" s="148"/>
      <c r="D27" s="149" t="s">
        <v>35</v>
      </c>
      <c r="E27" s="149"/>
      <c r="F27" s="149"/>
      <c r="G27" s="149"/>
      <c r="H27" s="149"/>
      <c r="I27" s="149"/>
      <c r="J27" s="79"/>
      <c r="K27" s="78"/>
      <c r="L27" s="78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7.75" customHeight="1" x14ac:dyDescent="0.2">
      <c r="A28" s="14"/>
      <c r="B28" s="150"/>
      <c r="C28" s="150"/>
      <c r="D28" s="151"/>
      <c r="E28" s="151"/>
      <c r="F28" s="151"/>
      <c r="G28" s="151"/>
      <c r="H28" s="151"/>
      <c r="I28" s="151"/>
      <c r="J28" s="79"/>
      <c r="K28" s="78"/>
      <c r="L28" s="78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2.5" customHeight="1" x14ac:dyDescent="0.2">
      <c r="A29" s="14"/>
      <c r="B29" s="152" t="s">
        <v>36</v>
      </c>
      <c r="C29" s="152"/>
      <c r="D29" s="153" t="s">
        <v>37</v>
      </c>
      <c r="E29" s="153"/>
      <c r="F29" s="153"/>
      <c r="G29" s="153"/>
      <c r="H29" s="153"/>
      <c r="I29" s="153"/>
      <c r="J29" s="80"/>
      <c r="K29" s="81"/>
      <c r="L29" s="81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7.75" customHeight="1" x14ac:dyDescent="0.2">
      <c r="A30" s="14"/>
      <c r="B30" s="145"/>
      <c r="C30" s="145"/>
      <c r="D30" s="146"/>
      <c r="E30" s="146"/>
      <c r="F30" s="146"/>
      <c r="G30" s="146"/>
      <c r="H30" s="146"/>
      <c r="I30" s="146"/>
      <c r="J30" s="82"/>
      <c r="K30" s="83"/>
      <c r="L30" s="83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7.75" customHeight="1" x14ac:dyDescent="0.2">
      <c r="A31" s="14"/>
      <c r="B31" s="145"/>
      <c r="C31" s="145"/>
      <c r="D31" s="146"/>
      <c r="E31" s="146"/>
      <c r="F31" s="146"/>
      <c r="G31" s="146"/>
      <c r="H31" s="146"/>
      <c r="I31" s="146"/>
      <c r="J31" s="82"/>
      <c r="K31" s="83"/>
      <c r="L31" s="83"/>
      <c r="M31" s="14"/>
      <c r="N31" s="6"/>
      <c r="O31" s="84"/>
      <c r="Q31" s="11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7.75" customHeight="1" x14ac:dyDescent="0.2">
      <c r="A32" s="14"/>
      <c r="B32" s="145"/>
      <c r="C32" s="145"/>
      <c r="D32" s="146"/>
      <c r="E32" s="146"/>
      <c r="F32" s="146"/>
      <c r="G32" s="146"/>
      <c r="H32" s="146"/>
      <c r="I32" s="146"/>
      <c r="J32" s="82"/>
      <c r="M32" s="14"/>
      <c r="N32" s="147"/>
      <c r="O32" s="147"/>
      <c r="Q32" s="11"/>
      <c r="R32" s="14"/>
      <c r="S32" s="14"/>
      <c r="T32" s="14"/>
      <c r="U32" s="14"/>
      <c r="V32" s="14"/>
      <c r="W32" s="14"/>
      <c r="X32" s="14"/>
      <c r="Y32" s="14"/>
      <c r="Z32" s="14"/>
    </row>
    <row r="33" spans="3:26" s="14" customFormat="1" ht="15.75" customHeight="1" x14ac:dyDescent="0.2">
      <c r="C33" s="85"/>
      <c r="E33" s="6"/>
      <c r="K33" s="7"/>
      <c r="L33" s="7"/>
      <c r="N33" s="6"/>
      <c r="O33" s="84"/>
      <c r="P33" s="11"/>
      <c r="Q33" s="11"/>
    </row>
    <row r="34" spans="3:26" s="14" customFormat="1" ht="15.75" customHeight="1" x14ac:dyDescent="0.2">
      <c r="C34" s="85"/>
      <c r="E34" s="6"/>
      <c r="K34" s="7"/>
      <c r="L34" s="7"/>
      <c r="N34" s="6"/>
      <c r="O34" s="84"/>
      <c r="P34" s="11"/>
      <c r="Q34" s="11"/>
    </row>
    <row r="35" spans="3:26" s="14" customFormat="1" ht="12.75" customHeight="1" x14ac:dyDescent="0.2">
      <c r="C35" s="62"/>
      <c r="E35" s="6"/>
      <c r="F35" s="6"/>
      <c r="G35" s="6"/>
      <c r="H35" s="6"/>
      <c r="I35" s="6"/>
      <c r="J35" s="6"/>
      <c r="K35" s="7"/>
      <c r="L35" s="7"/>
      <c r="M35" s="8"/>
      <c r="N35" s="9"/>
      <c r="O35" s="10"/>
      <c r="P35" s="11"/>
      <c r="Q35" s="12"/>
      <c r="R35" s="13"/>
      <c r="S35" s="13"/>
      <c r="T35" s="13"/>
      <c r="U35" s="13"/>
      <c r="V35" s="13"/>
      <c r="W35" s="13"/>
      <c r="X35" s="13"/>
      <c r="Y35" s="13"/>
      <c r="Z35" s="13"/>
    </row>
    <row r="36" spans="3:26" s="14" customFormat="1" ht="12.75" customHeight="1" x14ac:dyDescent="0.2">
      <c r="C36" s="62"/>
      <c r="E36" s="6"/>
      <c r="F36" s="6"/>
      <c r="G36" s="6"/>
      <c r="H36" s="6"/>
      <c r="I36" s="6"/>
      <c r="J36" s="6"/>
      <c r="K36" s="7"/>
      <c r="L36" s="7"/>
      <c r="M36" s="8"/>
      <c r="N36" s="9"/>
      <c r="O36" s="10"/>
      <c r="P36" s="11"/>
      <c r="Q36" s="12"/>
      <c r="R36" s="13"/>
      <c r="S36" s="13"/>
      <c r="T36" s="13"/>
      <c r="U36" s="13"/>
      <c r="V36" s="13"/>
      <c r="W36" s="13"/>
      <c r="X36" s="13"/>
      <c r="Y36" s="13"/>
      <c r="Z36" s="13"/>
    </row>
    <row r="37" spans="3:26" s="14" customFormat="1" ht="12.75" customHeight="1" x14ac:dyDescent="0.2">
      <c r="C37" s="62"/>
      <c r="E37" s="6"/>
      <c r="F37" s="6"/>
      <c r="G37" s="6"/>
      <c r="H37" s="6"/>
      <c r="I37" s="6"/>
      <c r="J37" s="6"/>
      <c r="K37" s="7"/>
      <c r="L37" s="7"/>
      <c r="M37" s="8"/>
      <c r="N37" s="9"/>
      <c r="O37" s="10"/>
      <c r="P37" s="11"/>
      <c r="Q37" s="12"/>
      <c r="R37" s="13"/>
      <c r="S37" s="13"/>
      <c r="T37" s="13"/>
      <c r="U37" s="13"/>
      <c r="V37" s="13"/>
      <c r="W37" s="13"/>
      <c r="X37" s="13"/>
      <c r="Y37" s="13"/>
      <c r="Z37" s="13"/>
    </row>
    <row r="38" spans="3:26" s="14" customFormat="1" ht="12.75" customHeight="1" x14ac:dyDescent="0.2">
      <c r="C38" s="62"/>
      <c r="E38" s="6"/>
      <c r="F38" s="6"/>
      <c r="G38" s="6"/>
      <c r="H38" s="6"/>
      <c r="I38" s="6"/>
      <c r="J38" s="6"/>
      <c r="K38" s="7"/>
      <c r="L38" s="7"/>
      <c r="M38" s="8"/>
      <c r="N38" s="9"/>
      <c r="O38" s="10"/>
      <c r="P38" s="11"/>
      <c r="Q38" s="12"/>
      <c r="R38" s="13"/>
      <c r="S38" s="13"/>
      <c r="T38" s="13"/>
      <c r="U38" s="13"/>
      <c r="V38" s="13"/>
      <c r="W38" s="13"/>
      <c r="X38" s="13"/>
      <c r="Y38" s="13"/>
      <c r="Z38" s="13"/>
    </row>
    <row r="39" spans="3:26" s="14" customFormat="1" ht="12.75" customHeight="1" x14ac:dyDescent="0.2">
      <c r="C39" s="62"/>
      <c r="E39" s="6"/>
      <c r="F39" s="6"/>
      <c r="G39" s="6"/>
      <c r="H39" s="6"/>
      <c r="I39" s="6"/>
      <c r="J39" s="6"/>
      <c r="K39" s="7"/>
      <c r="L39" s="7"/>
      <c r="M39" s="8"/>
      <c r="N39" s="9"/>
      <c r="O39" s="10"/>
      <c r="P39" s="11"/>
      <c r="Q39" s="12"/>
      <c r="R39" s="13"/>
      <c r="S39" s="13"/>
      <c r="T39" s="13"/>
      <c r="U39" s="13"/>
      <c r="V39" s="13"/>
      <c r="W39" s="13"/>
      <c r="X39" s="13"/>
      <c r="Y39" s="13"/>
      <c r="Z39" s="13"/>
    </row>
    <row r="40" spans="3:26" s="14" customFormat="1" ht="12.75" customHeight="1" x14ac:dyDescent="0.2">
      <c r="C40" s="62"/>
      <c r="E40" s="6"/>
      <c r="F40" s="6"/>
      <c r="G40" s="6"/>
      <c r="H40" s="6"/>
      <c r="I40" s="6"/>
      <c r="J40" s="6"/>
      <c r="K40" s="7"/>
      <c r="L40" s="7"/>
      <c r="M40" s="8"/>
      <c r="N40" s="9"/>
      <c r="O40" s="10"/>
      <c r="P40" s="11"/>
      <c r="Q40" s="12"/>
      <c r="R40" s="13"/>
      <c r="S40" s="13"/>
      <c r="T40" s="13"/>
      <c r="U40" s="13"/>
      <c r="V40" s="13"/>
      <c r="W40" s="13"/>
      <c r="X40" s="13"/>
      <c r="Y40" s="13"/>
      <c r="Z40" s="13"/>
    </row>
    <row r="41" spans="3:26" s="14" customFormat="1" ht="12.75" customHeight="1" x14ac:dyDescent="0.2">
      <c r="C41" s="62"/>
      <c r="E41" s="6"/>
      <c r="F41" s="6"/>
      <c r="G41" s="6"/>
      <c r="H41" s="6"/>
      <c r="I41" s="6"/>
      <c r="J41" s="6"/>
      <c r="K41" s="7"/>
      <c r="L41" s="7"/>
      <c r="M41" s="8"/>
      <c r="N41" s="9"/>
      <c r="O41" s="10"/>
      <c r="P41" s="11"/>
      <c r="Q41" s="12"/>
      <c r="R41" s="13"/>
      <c r="S41" s="13"/>
      <c r="T41" s="13"/>
      <c r="U41" s="13"/>
      <c r="V41" s="13"/>
      <c r="W41" s="13"/>
      <c r="X41" s="13"/>
      <c r="Y41" s="13"/>
      <c r="Z41" s="13"/>
    </row>
    <row r="42" spans="3:26" s="14" customFormat="1" ht="12.75" customHeight="1" x14ac:dyDescent="0.2">
      <c r="C42" s="62"/>
      <c r="E42" s="6"/>
      <c r="F42" s="6"/>
      <c r="G42" s="6"/>
      <c r="H42" s="6"/>
      <c r="I42" s="6"/>
      <c r="J42" s="6"/>
      <c r="K42" s="7"/>
      <c r="L42" s="7"/>
      <c r="M42" s="8"/>
      <c r="N42" s="9"/>
      <c r="O42" s="10"/>
      <c r="P42" s="11"/>
      <c r="Q42" s="12"/>
      <c r="R42" s="13"/>
      <c r="S42" s="13"/>
      <c r="T42" s="13"/>
      <c r="U42" s="13"/>
      <c r="V42" s="13"/>
      <c r="W42" s="13"/>
      <c r="X42" s="13"/>
      <c r="Y42" s="13"/>
      <c r="Z42" s="13"/>
    </row>
    <row r="43" spans="3:26" s="14" customFormat="1" ht="12.75" customHeight="1" x14ac:dyDescent="0.2">
      <c r="C43" s="62"/>
      <c r="E43" s="6"/>
      <c r="F43" s="6"/>
      <c r="G43" s="6"/>
      <c r="H43" s="6"/>
      <c r="I43" s="6"/>
      <c r="J43" s="6"/>
      <c r="K43" s="7"/>
      <c r="L43" s="7"/>
      <c r="M43" s="8"/>
      <c r="N43" s="9"/>
      <c r="O43" s="10"/>
      <c r="P43" s="11"/>
      <c r="Q43" s="12"/>
      <c r="R43" s="13"/>
      <c r="S43" s="13"/>
      <c r="T43" s="13"/>
      <c r="U43" s="13"/>
      <c r="V43" s="13"/>
      <c r="W43" s="13"/>
      <c r="X43" s="13"/>
      <c r="Y43" s="13"/>
      <c r="Z43" s="13"/>
    </row>
    <row r="44" spans="3:26" s="14" customFormat="1" ht="12.75" customHeight="1" x14ac:dyDescent="0.2">
      <c r="C44" s="62"/>
      <c r="E44" s="6"/>
      <c r="F44" s="6"/>
      <c r="G44" s="6"/>
      <c r="H44" s="6"/>
      <c r="I44" s="6"/>
      <c r="J44" s="6"/>
      <c r="K44" s="7"/>
      <c r="L44" s="7"/>
      <c r="M44" s="8"/>
      <c r="N44" s="9"/>
      <c r="O44" s="10"/>
      <c r="P44" s="11"/>
      <c r="Q44" s="12"/>
      <c r="R44" s="13"/>
      <c r="S44" s="13"/>
      <c r="T44" s="13"/>
      <c r="U44" s="13"/>
      <c r="V44" s="13"/>
      <c r="W44" s="13"/>
      <c r="X44" s="13"/>
      <c r="Y44" s="13"/>
      <c r="Z44" s="13"/>
    </row>
    <row r="45" spans="3:26" s="14" customFormat="1" ht="12.75" customHeight="1" x14ac:dyDescent="0.2">
      <c r="C45" s="62"/>
      <c r="E45" s="6"/>
      <c r="F45" s="6"/>
      <c r="G45" s="6"/>
      <c r="H45" s="6"/>
      <c r="I45" s="6"/>
      <c r="J45" s="6"/>
      <c r="K45" s="7"/>
      <c r="L45" s="7"/>
      <c r="M45" s="8"/>
      <c r="N45" s="9"/>
      <c r="O45" s="10"/>
      <c r="P45" s="11"/>
      <c r="Q45" s="12"/>
      <c r="R45" s="13"/>
      <c r="S45" s="13"/>
      <c r="T45" s="13"/>
      <c r="U45" s="13"/>
      <c r="V45" s="13"/>
      <c r="W45" s="13"/>
      <c r="X45" s="13"/>
      <c r="Y45" s="13"/>
      <c r="Z45" s="13"/>
    </row>
    <row r="46" spans="3:26" s="14" customFormat="1" ht="12.75" customHeight="1" x14ac:dyDescent="0.2">
      <c r="C46" s="62"/>
      <c r="E46" s="6"/>
      <c r="F46" s="6"/>
      <c r="G46" s="6"/>
      <c r="H46" s="6"/>
      <c r="I46" s="6"/>
      <c r="J46" s="6"/>
      <c r="K46" s="7"/>
      <c r="L46" s="7"/>
      <c r="M46" s="8"/>
      <c r="N46" s="9"/>
      <c r="O46" s="10"/>
      <c r="P46" s="11"/>
      <c r="Q46" s="12"/>
      <c r="R46" s="13"/>
      <c r="S46" s="13"/>
      <c r="T46" s="13"/>
      <c r="U46" s="13"/>
      <c r="V46" s="13"/>
      <c r="W46" s="13"/>
      <c r="X46" s="13"/>
      <c r="Y46" s="13"/>
      <c r="Z46" s="13"/>
    </row>
    <row r="47" spans="3:26" s="14" customFormat="1" ht="12.75" customHeight="1" x14ac:dyDescent="0.2">
      <c r="C47" s="62"/>
      <c r="E47" s="6"/>
      <c r="F47" s="6"/>
      <c r="G47" s="6"/>
      <c r="H47" s="6"/>
      <c r="I47" s="6"/>
      <c r="J47" s="6"/>
      <c r="K47" s="7"/>
      <c r="L47" s="7"/>
      <c r="M47" s="8"/>
      <c r="N47" s="9"/>
      <c r="O47" s="10"/>
      <c r="P47" s="11"/>
      <c r="Q47" s="12"/>
      <c r="R47" s="13"/>
      <c r="S47" s="13"/>
      <c r="T47" s="13"/>
      <c r="U47" s="13"/>
      <c r="V47" s="13"/>
      <c r="W47" s="13"/>
      <c r="X47" s="13"/>
      <c r="Y47" s="13"/>
      <c r="Z47" s="13"/>
    </row>
    <row r="48" spans="3:26" s="14" customFormat="1" ht="12.75" customHeight="1" x14ac:dyDescent="0.2">
      <c r="C48" s="62"/>
      <c r="E48" s="6"/>
      <c r="F48" s="6"/>
      <c r="G48" s="6"/>
      <c r="H48" s="6"/>
      <c r="I48" s="6"/>
      <c r="J48" s="6"/>
      <c r="K48" s="7"/>
      <c r="L48" s="7"/>
      <c r="M48" s="8"/>
      <c r="N48" s="9"/>
      <c r="O48" s="10"/>
      <c r="P48" s="11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3:26" s="14" customFormat="1" ht="12.75" customHeight="1" x14ac:dyDescent="0.2">
      <c r="C49" s="62"/>
      <c r="E49" s="6"/>
      <c r="F49" s="6"/>
      <c r="G49" s="6"/>
      <c r="H49" s="6"/>
      <c r="I49" s="6"/>
      <c r="J49" s="6"/>
      <c r="K49" s="7"/>
      <c r="L49" s="7"/>
      <c r="M49" s="8"/>
      <c r="N49" s="9"/>
      <c r="O49" s="10"/>
      <c r="P49" s="11"/>
      <c r="Q49" s="12"/>
      <c r="R49" s="13"/>
      <c r="S49" s="13"/>
      <c r="T49" s="13"/>
      <c r="U49" s="13"/>
      <c r="V49" s="13"/>
      <c r="W49" s="13"/>
      <c r="X49" s="13"/>
      <c r="Y49" s="13"/>
      <c r="Z49" s="13"/>
    </row>
    <row r="50" spans="3:26" s="14" customFormat="1" ht="12.75" customHeight="1" x14ac:dyDescent="0.2">
      <c r="C50" s="62"/>
      <c r="E50" s="6"/>
      <c r="F50" s="6"/>
      <c r="G50" s="6"/>
      <c r="H50" s="6"/>
      <c r="I50" s="6"/>
      <c r="J50" s="6"/>
      <c r="K50" s="7"/>
      <c r="L50" s="7"/>
      <c r="M50" s="8"/>
      <c r="N50" s="9"/>
      <c r="O50" s="10"/>
      <c r="P50" s="11"/>
      <c r="Q50" s="12"/>
      <c r="R50" s="13"/>
      <c r="S50" s="13"/>
      <c r="T50" s="13"/>
      <c r="U50" s="13"/>
      <c r="V50" s="13"/>
      <c r="W50" s="13"/>
      <c r="X50" s="13"/>
      <c r="Y50" s="13"/>
      <c r="Z50" s="13"/>
    </row>
    <row r="51" spans="3:26" s="14" customFormat="1" ht="12.75" customHeight="1" x14ac:dyDescent="0.2">
      <c r="C51" s="62"/>
      <c r="E51" s="6"/>
      <c r="F51" s="6"/>
      <c r="G51" s="6"/>
      <c r="H51" s="6"/>
      <c r="I51" s="6"/>
      <c r="J51" s="6"/>
      <c r="K51" s="7"/>
      <c r="L51" s="7"/>
      <c r="M51" s="8"/>
      <c r="N51" s="9"/>
      <c r="O51" s="10"/>
      <c r="P51" s="11"/>
      <c r="Q51" s="12"/>
      <c r="R51" s="13"/>
      <c r="S51" s="13"/>
      <c r="T51" s="13"/>
      <c r="U51" s="13"/>
      <c r="V51" s="13"/>
      <c r="W51" s="13"/>
      <c r="X51" s="13"/>
      <c r="Y51" s="13"/>
      <c r="Z51" s="13"/>
    </row>
    <row r="52" spans="3:26" s="14" customFormat="1" ht="12.75" customHeight="1" x14ac:dyDescent="0.2">
      <c r="C52" s="62"/>
      <c r="E52" s="6"/>
      <c r="F52" s="6"/>
      <c r="G52" s="6"/>
      <c r="H52" s="6"/>
      <c r="I52" s="6"/>
      <c r="J52" s="6"/>
      <c r="K52" s="7"/>
      <c r="L52" s="7"/>
      <c r="M52" s="8"/>
      <c r="N52" s="9"/>
      <c r="O52" s="10"/>
      <c r="P52" s="11"/>
      <c r="Q52" s="12"/>
      <c r="R52" s="13"/>
      <c r="S52" s="13"/>
      <c r="T52" s="13"/>
      <c r="U52" s="13"/>
      <c r="V52" s="13"/>
      <c r="W52" s="13"/>
      <c r="X52" s="13"/>
      <c r="Y52" s="13"/>
      <c r="Z52" s="13"/>
    </row>
  </sheetData>
  <sheetProtection sheet="1" objects="1" scenarios="1" selectLockedCells="1"/>
  <mergeCells count="24">
    <mergeCell ref="B30:C32"/>
    <mergeCell ref="D30:I32"/>
    <mergeCell ref="N32:O32"/>
    <mergeCell ref="B27:C27"/>
    <mergeCell ref="D27:I27"/>
    <mergeCell ref="B28:C28"/>
    <mergeCell ref="D28:I28"/>
    <mergeCell ref="B29:C29"/>
    <mergeCell ref="D29:I29"/>
    <mergeCell ref="F24:G24"/>
    <mergeCell ref="H24:I24"/>
    <mergeCell ref="L24:M24"/>
    <mergeCell ref="N24:O24"/>
    <mergeCell ref="B25:I25"/>
    <mergeCell ref="B10:C13"/>
    <mergeCell ref="B14:C17"/>
    <mergeCell ref="B18:C21"/>
    <mergeCell ref="F23:G23"/>
    <mergeCell ref="H23:I23"/>
    <mergeCell ref="B2:I2"/>
    <mergeCell ref="K5:K6"/>
    <mergeCell ref="B6:C6"/>
    <mergeCell ref="B7:I7"/>
    <mergeCell ref="B8:C9"/>
  </mergeCells>
  <conditionalFormatting sqref="C26 B28:E28 B30:E32">
    <cfRule type="cellIs" dxfId="2" priority="3" operator="equal">
      <formula>A22="&lt;&gt;"</formula>
    </cfRule>
  </conditionalFormatting>
  <conditionalFormatting sqref="F24:G24">
    <cfRule type="cellIs" dxfId="1" priority="2" operator="equal">
      <formula>$F$24="&lt;&gt;"</formula>
    </cfRule>
  </conditionalFormatting>
  <conditionalFormatting sqref="F28:I28 F30:I32">
    <cfRule type="cellIs" dxfId="0" priority="4" operator="equal">
      <formula>D24="&lt;&gt;"</formula>
    </cfRule>
  </conditionalFormatting>
  <dataValidations count="5">
    <dataValidation type="custom" showErrorMessage="1" errorTitle="Saisie non autorisée" error="Les critères Analyser (lignes 8-9) ne peuvent pas être marqués &quot;Non évalué&quot;. Veuillez cocher une note dans les colonnes F à I." sqref="E8:E9" xr:uid="{00000000-0002-0000-0000-000000000000}">
      <formula1>UPPER(E8)&lt;&gt;"X"</formula1>
      <formula2>0</formula2>
    </dataValidation>
    <dataValidation type="custom" showErrorMessage="1" errorTitle="Croix déjà présente" error="Une seule croix &quot;Non évalué&quot; est autorisée dans le groupe Concevoir (lignes 10 à 13). Effacez la croix existante avant d'en placer une nouvelle." sqref="E10:E13" xr:uid="{00000000-0002-0000-0000-000001000000}">
      <formula1>OR(E10="",AND(UPPER(E10)="X",SUMPRODUCT(($E$10:$E$13&lt;&gt;"")*1)-(E10&lt;&gt;"")*1=0))</formula1>
      <formula2>0</formula2>
    </dataValidation>
    <dataValidation type="custom" showErrorMessage="1" errorTitle="Croix déjà présente" error="Une seule croix &quot;Non évalué&quot; est autorisée dans le groupe Simuler (lignes 14 à 17). Effacez la croix existante avant d'en placer une nouvelle." sqref="E14:E17" xr:uid="{00000000-0002-0000-0000-000002000000}">
      <formula1>OR(E14="",AND(UPPER(E14)="X",SUMPRODUCT(($E$14:$E$17&lt;&gt;"")*1)-(E14&lt;&gt;"")*1=0))</formula1>
      <formula2>0</formula2>
    </dataValidation>
    <dataValidation type="custom" showErrorMessage="1" errorTitle="Croix déjà présente" error="Une seule croix &quot;Non évalué&quot; est autorisée dans le groupe Expérimenter (lignes 18 à 21). Effacez la croix existante avant d'en placer une nouvelle." sqref="E18:E21" xr:uid="{00000000-0002-0000-0000-000003000000}">
      <formula1>OR(E18="",AND(UPPER(E18)="X",SUMPRODUCT(($E$18:$E$21&lt;&gt;"")*1)-(E18&lt;&gt;"")*1=0))</formula1>
      <formula2>0</formula2>
    </dataValidation>
    <dataValidation type="date" showInputMessage="1" showErrorMessage="1" errorTitle="Format de date invalide" error="Veuillez saisir une date valide (ex. : 18/02/2026)." promptTitle="Date de passation" prompt="Saisissez la date au format JJ/MM/AAAA." sqref="C26" xr:uid="{00000000-0002-0000-0000-000004000000}">
      <formula1>36526</formula1>
      <formula2>73049</formula2>
    </dataValidation>
  </dataValidations>
  <printOptions horizontalCentered="1" verticalCentered="1"/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23" zoomScaleNormal="123" workbookViewId="0">
      <selection activeCell="A7" sqref="A7:B10"/>
    </sheetView>
  </sheetViews>
  <sheetFormatPr baseColWidth="10" defaultColWidth="11" defaultRowHeight="15.75" customHeight="1" x14ac:dyDescent="0.2"/>
  <cols>
    <col min="1" max="1" width="9.1640625" customWidth="1"/>
    <col min="2" max="2" width="13" customWidth="1"/>
    <col min="3" max="3" width="39.5" customWidth="1"/>
    <col min="4" max="4" width="27.83203125" style="85" customWidth="1"/>
    <col min="5" max="7" width="27.83203125" customWidth="1"/>
  </cols>
  <sheetData>
    <row r="1" spans="1:7" ht="15.75" customHeight="1" x14ac:dyDescent="0.2">
      <c r="A1" s="156" t="s">
        <v>38</v>
      </c>
      <c r="B1" s="156"/>
      <c r="C1" s="156"/>
      <c r="D1" s="156"/>
      <c r="E1" s="156"/>
      <c r="F1" s="156"/>
      <c r="G1" s="156"/>
    </row>
    <row r="3" spans="1:7" s="99" customFormat="1" ht="16.5" customHeight="1" x14ac:dyDescent="0.2">
      <c r="A3" s="157" t="s">
        <v>3</v>
      </c>
      <c r="B3" s="157"/>
      <c r="C3" s="96" t="s">
        <v>4</v>
      </c>
      <c r="D3" s="95">
        <v>0</v>
      </c>
      <c r="E3" s="97">
        <v>0.33333333333333298</v>
      </c>
      <c r="F3" s="97">
        <v>0.66666666666666696</v>
      </c>
      <c r="G3" s="98" t="s">
        <v>6</v>
      </c>
    </row>
    <row r="4" spans="1:7" ht="15.75" customHeight="1" thickBot="1" x14ac:dyDescent="0.25">
      <c r="A4" s="158"/>
      <c r="B4" s="158"/>
      <c r="C4" s="158"/>
      <c r="D4" s="158"/>
      <c r="E4" s="158"/>
      <c r="F4" s="158"/>
      <c r="G4" s="158"/>
    </row>
    <row r="5" spans="1:7" ht="28" x14ac:dyDescent="0.2">
      <c r="A5" s="154" t="s">
        <v>8</v>
      </c>
      <c r="B5" s="154"/>
      <c r="C5" s="100" t="s">
        <v>9</v>
      </c>
      <c r="D5" s="101" t="s">
        <v>39</v>
      </c>
      <c r="E5" s="101" t="s">
        <v>40</v>
      </c>
      <c r="F5" s="101" t="s">
        <v>41</v>
      </c>
      <c r="G5" s="102" t="s">
        <v>42</v>
      </c>
    </row>
    <row r="6" spans="1:7" ht="43" thickBot="1" x14ac:dyDescent="0.25">
      <c r="A6" s="159"/>
      <c r="B6" s="159"/>
      <c r="C6" s="103" t="s">
        <v>11</v>
      </c>
      <c r="D6" s="104" t="s">
        <v>43</v>
      </c>
      <c r="E6" s="104" t="s">
        <v>44</v>
      </c>
      <c r="F6" s="104" t="s">
        <v>45</v>
      </c>
      <c r="G6" s="105" t="s">
        <v>46</v>
      </c>
    </row>
    <row r="7" spans="1:7" ht="28" x14ac:dyDescent="0.2">
      <c r="A7" s="154" t="s">
        <v>12</v>
      </c>
      <c r="B7" s="154"/>
      <c r="C7" s="106" t="s">
        <v>13</v>
      </c>
      <c r="D7" s="107" t="s">
        <v>47</v>
      </c>
      <c r="E7" s="107" t="s">
        <v>48</v>
      </c>
      <c r="F7" s="107" t="s">
        <v>49</v>
      </c>
      <c r="G7" s="108" t="s">
        <v>50</v>
      </c>
    </row>
    <row r="8" spans="1:7" ht="28" x14ac:dyDescent="0.2">
      <c r="A8" s="138"/>
      <c r="B8" s="138"/>
      <c r="C8" s="86" t="s">
        <v>14</v>
      </c>
      <c r="D8" s="87" t="s">
        <v>51</v>
      </c>
      <c r="E8" s="87" t="s">
        <v>52</v>
      </c>
      <c r="F8" s="87" t="s">
        <v>204</v>
      </c>
      <c r="G8" s="88" t="s">
        <v>201</v>
      </c>
    </row>
    <row r="9" spans="1:7" ht="28" x14ac:dyDescent="0.2">
      <c r="A9" s="138"/>
      <c r="B9" s="138"/>
      <c r="C9" s="86" t="s">
        <v>15</v>
      </c>
      <c r="D9" s="87" t="s">
        <v>190</v>
      </c>
      <c r="E9" s="87" t="s">
        <v>194</v>
      </c>
      <c r="F9" s="87" t="s">
        <v>53</v>
      </c>
      <c r="G9" s="88" t="s">
        <v>54</v>
      </c>
    </row>
    <row r="10" spans="1:7" ht="29" thickBot="1" x14ac:dyDescent="0.25">
      <c r="A10" s="155"/>
      <c r="B10" s="155"/>
      <c r="C10" s="109" t="s">
        <v>16</v>
      </c>
      <c r="D10" s="110" t="s">
        <v>191</v>
      </c>
      <c r="E10" s="110" t="s">
        <v>55</v>
      </c>
      <c r="F10" s="110" t="s">
        <v>56</v>
      </c>
      <c r="G10" s="111" t="s">
        <v>57</v>
      </c>
    </row>
    <row r="11" spans="1:7" ht="42" x14ac:dyDescent="0.2">
      <c r="A11" s="154" t="s">
        <v>17</v>
      </c>
      <c r="B11" s="154"/>
      <c r="C11" s="112" t="s">
        <v>58</v>
      </c>
      <c r="D11" s="113" t="s">
        <v>59</v>
      </c>
      <c r="E11" s="113" t="s">
        <v>60</v>
      </c>
      <c r="F11" s="113" t="s">
        <v>61</v>
      </c>
      <c r="G11" s="114" t="s">
        <v>62</v>
      </c>
    </row>
    <row r="12" spans="1:7" ht="56" x14ac:dyDescent="0.2">
      <c r="A12" s="138"/>
      <c r="B12" s="138"/>
      <c r="C12" s="89" t="s">
        <v>19</v>
      </c>
      <c r="D12" s="90" t="s">
        <v>192</v>
      </c>
      <c r="E12" s="90" t="s">
        <v>195</v>
      </c>
      <c r="F12" s="90" t="s">
        <v>197</v>
      </c>
      <c r="G12" s="91" t="s">
        <v>200</v>
      </c>
    </row>
    <row r="13" spans="1:7" ht="28" x14ac:dyDescent="0.2">
      <c r="A13" s="138"/>
      <c r="B13" s="138"/>
      <c r="C13" s="89" t="s">
        <v>20</v>
      </c>
      <c r="D13" s="90" t="s">
        <v>193</v>
      </c>
      <c r="E13" s="90" t="s">
        <v>196</v>
      </c>
      <c r="F13" s="90" t="s">
        <v>198</v>
      </c>
      <c r="G13" s="91" t="s">
        <v>199</v>
      </c>
    </row>
    <row r="14" spans="1:7" ht="29" thickBot="1" x14ac:dyDescent="0.25">
      <c r="A14" s="155"/>
      <c r="B14" s="155"/>
      <c r="C14" s="115" t="s">
        <v>21</v>
      </c>
      <c r="D14" s="116" t="s">
        <v>78</v>
      </c>
      <c r="E14" s="116" t="s">
        <v>63</v>
      </c>
      <c r="F14" s="116" t="s">
        <v>64</v>
      </c>
      <c r="G14" s="117" t="s">
        <v>65</v>
      </c>
    </row>
    <row r="15" spans="1:7" ht="42" x14ac:dyDescent="0.2">
      <c r="A15" s="154" t="s">
        <v>22</v>
      </c>
      <c r="B15" s="154"/>
      <c r="C15" s="118" t="s">
        <v>23</v>
      </c>
      <c r="D15" s="119" t="s">
        <v>66</v>
      </c>
      <c r="E15" s="119" t="s">
        <v>67</v>
      </c>
      <c r="F15" s="119" t="s">
        <v>68</v>
      </c>
      <c r="G15" s="120" t="s">
        <v>69</v>
      </c>
    </row>
    <row r="16" spans="1:7" ht="42" x14ac:dyDescent="0.2">
      <c r="A16" s="138"/>
      <c r="B16" s="138"/>
      <c r="C16" s="92" t="s">
        <v>24</v>
      </c>
      <c r="D16" s="93" t="s">
        <v>70</v>
      </c>
      <c r="E16" s="93" t="s">
        <v>71</v>
      </c>
      <c r="F16" s="93" t="s">
        <v>72</v>
      </c>
      <c r="G16" s="94" t="s">
        <v>73</v>
      </c>
    </row>
    <row r="17" spans="1:7" ht="28" x14ac:dyDescent="0.2">
      <c r="A17" s="138"/>
      <c r="B17" s="138"/>
      <c r="C17" s="92" t="s">
        <v>25</v>
      </c>
      <c r="D17" s="93" t="s">
        <v>74</v>
      </c>
      <c r="E17" s="93" t="s">
        <v>75</v>
      </c>
      <c r="F17" s="93" t="s">
        <v>76</v>
      </c>
      <c r="G17" s="94" t="s">
        <v>77</v>
      </c>
    </row>
    <row r="18" spans="1:7" ht="29" thickBot="1" x14ac:dyDescent="0.25">
      <c r="A18" s="155"/>
      <c r="B18" s="155"/>
      <c r="C18" s="121" t="s">
        <v>26</v>
      </c>
      <c r="D18" s="122" t="s">
        <v>78</v>
      </c>
      <c r="E18" s="122" t="s">
        <v>79</v>
      </c>
      <c r="F18" s="122" t="s">
        <v>80</v>
      </c>
      <c r="G18" s="123" t="s">
        <v>81</v>
      </c>
    </row>
  </sheetData>
  <sheetProtection algorithmName="SHA-512" hashValue="cpZuCY9i9MSZH6JTQ0F339c2iSvc6ttUm1clCcE8DZNDkiK1T1ghjdNQ1VFaZi6G9bpkogFsxNtEzN1DdqjZQg==" saltValue="QSBQT0qa5Lhoaghwt2bNQw==" spinCount="100000" sheet="1" objects="1" scenarios="1" selectLockedCells="1" selectUnlockedCells="1"/>
  <mergeCells count="7">
    <mergeCell ref="A11:B14"/>
    <mergeCell ref="A15:B18"/>
    <mergeCell ref="A1:G1"/>
    <mergeCell ref="A3:B3"/>
    <mergeCell ref="A4:G4"/>
    <mergeCell ref="A5:B6"/>
    <mergeCell ref="A7:B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7"/>
  <sheetViews>
    <sheetView zoomScaleNormal="100" workbookViewId="0"/>
  </sheetViews>
  <sheetFormatPr baseColWidth="10" defaultColWidth="11" defaultRowHeight="15.75" customHeight="1" x14ac:dyDescent="0.2"/>
  <sheetData>
    <row r="1" spans="1:1" ht="15.75" customHeight="1" x14ac:dyDescent="0.2">
      <c r="A1" t="s">
        <v>82</v>
      </c>
    </row>
    <row r="2" spans="1:1" ht="15.75" customHeight="1" x14ac:dyDescent="0.2">
      <c r="A2" t="s">
        <v>83</v>
      </c>
    </row>
    <row r="3" spans="1:1" ht="15.75" customHeight="1" x14ac:dyDescent="0.2">
      <c r="A3" t="s">
        <v>84</v>
      </c>
    </row>
    <row r="4" spans="1:1" ht="15.75" customHeight="1" x14ac:dyDescent="0.2">
      <c r="A4" t="s">
        <v>85</v>
      </c>
    </row>
    <row r="5" spans="1:1" ht="15.75" customHeight="1" x14ac:dyDescent="0.2">
      <c r="A5" t="s">
        <v>86</v>
      </c>
    </row>
    <row r="6" spans="1:1" ht="15.75" customHeight="1" x14ac:dyDescent="0.2">
      <c r="A6" t="s">
        <v>87</v>
      </c>
    </row>
    <row r="7" spans="1:1" ht="15.75" customHeight="1" x14ac:dyDescent="0.2">
      <c r="A7" t="s">
        <v>88</v>
      </c>
    </row>
    <row r="8" spans="1:1" ht="15.75" customHeight="1" x14ac:dyDescent="0.2">
      <c r="A8" t="s">
        <v>89</v>
      </c>
    </row>
    <row r="9" spans="1:1" ht="15.75" customHeight="1" x14ac:dyDescent="0.2">
      <c r="A9" t="s">
        <v>90</v>
      </c>
    </row>
    <row r="10" spans="1:1" ht="15.75" customHeight="1" x14ac:dyDescent="0.2">
      <c r="A10" t="s">
        <v>91</v>
      </c>
    </row>
    <row r="11" spans="1:1" ht="15.75" customHeight="1" x14ac:dyDescent="0.2">
      <c r="A11" t="s">
        <v>92</v>
      </c>
    </row>
    <row r="12" spans="1:1" ht="15.75" customHeight="1" x14ac:dyDescent="0.2">
      <c r="A12" t="s">
        <v>93</v>
      </c>
    </row>
    <row r="13" spans="1:1" ht="15.75" customHeight="1" x14ac:dyDescent="0.2">
      <c r="A13" t="s">
        <v>94</v>
      </c>
    </row>
    <row r="14" spans="1:1" ht="15.75" customHeight="1" x14ac:dyDescent="0.2">
      <c r="A14" t="s">
        <v>95</v>
      </c>
    </row>
    <row r="15" spans="1:1" ht="15.75" customHeight="1" x14ac:dyDescent="0.2">
      <c r="A15" t="s">
        <v>96</v>
      </c>
    </row>
    <row r="16" spans="1:1" ht="15.75" customHeight="1" x14ac:dyDescent="0.2">
      <c r="A16" t="s">
        <v>97</v>
      </c>
    </row>
    <row r="17" spans="1:1" ht="15.75" customHeight="1" x14ac:dyDescent="0.2">
      <c r="A17" t="s">
        <v>98</v>
      </c>
    </row>
    <row r="18" spans="1:1" ht="15.75" customHeight="1" x14ac:dyDescent="0.2">
      <c r="A18" t="s">
        <v>99</v>
      </c>
    </row>
    <row r="19" spans="1:1" ht="15.75" customHeight="1" x14ac:dyDescent="0.2">
      <c r="A19" t="s">
        <v>100</v>
      </c>
    </row>
    <row r="20" spans="1:1" ht="15.75" customHeight="1" x14ac:dyDescent="0.2">
      <c r="A20" t="s">
        <v>101</v>
      </c>
    </row>
    <row r="21" spans="1:1" ht="15.75" customHeight="1" x14ac:dyDescent="0.2">
      <c r="A21" t="s">
        <v>102</v>
      </c>
    </row>
    <row r="22" spans="1:1" ht="15.75" customHeight="1" x14ac:dyDescent="0.2">
      <c r="A22" t="s">
        <v>103</v>
      </c>
    </row>
    <row r="23" spans="1:1" ht="15.75" customHeight="1" x14ac:dyDescent="0.2">
      <c r="A23" t="s">
        <v>104</v>
      </c>
    </row>
    <row r="24" spans="1:1" ht="15.75" customHeight="1" x14ac:dyDescent="0.2">
      <c r="A24" t="s">
        <v>105</v>
      </c>
    </row>
    <row r="25" spans="1:1" ht="15.75" customHeight="1" x14ac:dyDescent="0.2">
      <c r="A25" t="s">
        <v>106</v>
      </c>
    </row>
    <row r="26" spans="1:1" ht="15.75" customHeight="1" x14ac:dyDescent="0.2">
      <c r="A26" t="s">
        <v>107</v>
      </c>
    </row>
    <row r="27" spans="1:1" ht="15.75" customHeight="1" x14ac:dyDescent="0.2">
      <c r="A27" t="s">
        <v>108</v>
      </c>
    </row>
    <row r="28" spans="1:1" ht="15.75" customHeight="1" x14ac:dyDescent="0.2">
      <c r="A28" t="s">
        <v>109</v>
      </c>
    </row>
    <row r="29" spans="1:1" ht="15.75" customHeight="1" x14ac:dyDescent="0.2">
      <c r="A29" t="s">
        <v>110</v>
      </c>
    </row>
    <row r="30" spans="1:1" ht="15.75" customHeight="1" x14ac:dyDescent="0.2">
      <c r="A30" t="s">
        <v>111</v>
      </c>
    </row>
    <row r="31" spans="1:1" ht="15.75" customHeight="1" x14ac:dyDescent="0.2">
      <c r="A31" t="s">
        <v>112</v>
      </c>
    </row>
    <row r="32" spans="1:1" ht="15.75" customHeight="1" x14ac:dyDescent="0.2">
      <c r="A32" t="s">
        <v>113</v>
      </c>
    </row>
    <row r="33" spans="1:1" ht="15.75" customHeight="1" x14ac:dyDescent="0.2">
      <c r="A33" t="s">
        <v>114</v>
      </c>
    </row>
    <row r="34" spans="1:1" ht="15.75" customHeight="1" x14ac:dyDescent="0.2">
      <c r="A34" t="s">
        <v>115</v>
      </c>
    </row>
    <row r="35" spans="1:1" ht="15.75" customHeight="1" x14ac:dyDescent="0.2">
      <c r="A35" t="s">
        <v>116</v>
      </c>
    </row>
    <row r="36" spans="1:1" ht="15.75" customHeight="1" x14ac:dyDescent="0.2">
      <c r="A36" t="s">
        <v>117</v>
      </c>
    </row>
    <row r="37" spans="1:1" ht="15.75" customHeight="1" x14ac:dyDescent="0.2">
      <c r="A37" t="s">
        <v>118</v>
      </c>
    </row>
    <row r="38" spans="1:1" ht="15.75" customHeight="1" x14ac:dyDescent="0.2">
      <c r="A38" t="s">
        <v>119</v>
      </c>
    </row>
    <row r="39" spans="1:1" ht="15.75" customHeight="1" x14ac:dyDescent="0.2">
      <c r="A39" t="s">
        <v>120</v>
      </c>
    </row>
    <row r="40" spans="1:1" ht="15.75" customHeight="1" x14ac:dyDescent="0.2">
      <c r="A40" t="s">
        <v>121</v>
      </c>
    </row>
    <row r="41" spans="1:1" ht="15.75" customHeight="1" x14ac:dyDescent="0.2">
      <c r="A41" t="s">
        <v>122</v>
      </c>
    </row>
    <row r="42" spans="1:1" ht="15.75" customHeight="1" x14ac:dyDescent="0.2">
      <c r="A42" t="s">
        <v>123</v>
      </c>
    </row>
    <row r="43" spans="1:1" ht="15.75" customHeight="1" x14ac:dyDescent="0.2">
      <c r="A43" t="s">
        <v>124</v>
      </c>
    </row>
    <row r="44" spans="1:1" ht="15.75" customHeight="1" x14ac:dyDescent="0.2">
      <c r="A44" t="s">
        <v>125</v>
      </c>
    </row>
    <row r="45" spans="1:1" ht="15.75" customHeight="1" x14ac:dyDescent="0.2">
      <c r="A45" t="s">
        <v>126</v>
      </c>
    </row>
    <row r="46" spans="1:1" ht="15.75" customHeight="1" x14ac:dyDescent="0.2">
      <c r="A46" t="s">
        <v>127</v>
      </c>
    </row>
    <row r="47" spans="1:1" ht="15.75" customHeight="1" x14ac:dyDescent="0.2">
      <c r="A47" t="s">
        <v>128</v>
      </c>
    </row>
    <row r="48" spans="1:1" ht="15.75" customHeight="1" x14ac:dyDescent="0.2">
      <c r="A48" t="s">
        <v>129</v>
      </c>
    </row>
    <row r="49" spans="1:1" ht="15.75" customHeight="1" x14ac:dyDescent="0.2">
      <c r="A49" t="s">
        <v>130</v>
      </c>
    </row>
    <row r="50" spans="1:1" ht="15.75" customHeight="1" x14ac:dyDescent="0.2">
      <c r="A50" t="s">
        <v>131</v>
      </c>
    </row>
    <row r="51" spans="1:1" ht="15.75" customHeight="1" x14ac:dyDescent="0.2">
      <c r="A51" t="s">
        <v>132</v>
      </c>
    </row>
    <row r="52" spans="1:1" ht="15.75" customHeight="1" x14ac:dyDescent="0.2">
      <c r="A52" t="s">
        <v>133</v>
      </c>
    </row>
    <row r="53" spans="1:1" ht="15.75" customHeight="1" x14ac:dyDescent="0.2">
      <c r="A53" t="s">
        <v>134</v>
      </c>
    </row>
    <row r="54" spans="1:1" ht="15.75" customHeight="1" x14ac:dyDescent="0.2">
      <c r="A54" t="s">
        <v>135</v>
      </c>
    </row>
    <row r="55" spans="1:1" ht="15.75" customHeight="1" x14ac:dyDescent="0.2">
      <c r="A55" t="s">
        <v>136</v>
      </c>
    </row>
    <row r="56" spans="1:1" ht="15.75" customHeight="1" x14ac:dyDescent="0.2">
      <c r="A56" t="s">
        <v>137</v>
      </c>
    </row>
    <row r="57" spans="1:1" ht="15.75" customHeight="1" x14ac:dyDescent="0.2">
      <c r="A57" t="s">
        <v>138</v>
      </c>
    </row>
    <row r="58" spans="1:1" ht="15.75" customHeight="1" x14ac:dyDescent="0.2">
      <c r="A58" t="s">
        <v>139</v>
      </c>
    </row>
    <row r="59" spans="1:1" ht="15.75" customHeight="1" x14ac:dyDescent="0.2">
      <c r="A59" t="s">
        <v>140</v>
      </c>
    </row>
    <row r="60" spans="1:1" ht="15.75" customHeight="1" x14ac:dyDescent="0.2">
      <c r="A60" t="s">
        <v>141</v>
      </c>
    </row>
    <row r="61" spans="1:1" ht="15.75" customHeight="1" x14ac:dyDescent="0.2">
      <c r="A61" t="s">
        <v>142</v>
      </c>
    </row>
    <row r="62" spans="1:1" ht="15.75" customHeight="1" x14ac:dyDescent="0.2">
      <c r="A62" t="s">
        <v>143</v>
      </c>
    </row>
    <row r="63" spans="1:1" ht="15.75" customHeight="1" x14ac:dyDescent="0.2">
      <c r="A63" t="s">
        <v>144</v>
      </c>
    </row>
    <row r="64" spans="1:1" ht="15.75" customHeight="1" x14ac:dyDescent="0.2">
      <c r="A64" t="s">
        <v>145</v>
      </c>
    </row>
    <row r="65" spans="1:1" ht="15.75" customHeight="1" x14ac:dyDescent="0.2">
      <c r="A65" t="s">
        <v>146</v>
      </c>
    </row>
    <row r="66" spans="1:1" ht="15.75" customHeight="1" x14ac:dyDescent="0.2">
      <c r="A66" t="s">
        <v>147</v>
      </c>
    </row>
    <row r="67" spans="1:1" ht="15.75" customHeight="1" x14ac:dyDescent="0.2">
      <c r="A67" t="s">
        <v>148</v>
      </c>
    </row>
    <row r="68" spans="1:1" ht="15.75" customHeight="1" x14ac:dyDescent="0.2">
      <c r="A68" t="s">
        <v>149</v>
      </c>
    </row>
    <row r="69" spans="1:1" ht="15.75" customHeight="1" x14ac:dyDescent="0.2">
      <c r="A69" t="s">
        <v>150</v>
      </c>
    </row>
    <row r="70" spans="1:1" ht="15.75" customHeight="1" x14ac:dyDescent="0.2">
      <c r="A70" t="s">
        <v>151</v>
      </c>
    </row>
    <row r="71" spans="1:1" ht="15.75" customHeight="1" x14ac:dyDescent="0.2">
      <c r="A71" t="s">
        <v>152</v>
      </c>
    </row>
    <row r="72" spans="1:1" ht="15.75" customHeight="1" x14ac:dyDescent="0.2">
      <c r="A72" t="s">
        <v>153</v>
      </c>
    </row>
    <row r="73" spans="1:1" ht="15.75" customHeight="1" x14ac:dyDescent="0.2">
      <c r="A73" t="s">
        <v>154</v>
      </c>
    </row>
    <row r="74" spans="1:1" ht="15.75" customHeight="1" x14ac:dyDescent="0.2">
      <c r="A74" t="s">
        <v>155</v>
      </c>
    </row>
    <row r="75" spans="1:1" ht="15.75" customHeight="1" x14ac:dyDescent="0.2">
      <c r="A75" t="s">
        <v>156</v>
      </c>
    </row>
    <row r="76" spans="1:1" ht="15.75" customHeight="1" x14ac:dyDescent="0.2">
      <c r="A76" t="s">
        <v>157</v>
      </c>
    </row>
    <row r="77" spans="1:1" ht="15.75" customHeight="1" x14ac:dyDescent="0.2">
      <c r="A77" t="s">
        <v>158</v>
      </c>
    </row>
    <row r="78" spans="1:1" ht="15.75" customHeight="1" x14ac:dyDescent="0.2">
      <c r="A78" t="s">
        <v>159</v>
      </c>
    </row>
    <row r="79" spans="1:1" ht="15.75" customHeight="1" x14ac:dyDescent="0.2">
      <c r="A79" t="s">
        <v>160</v>
      </c>
    </row>
    <row r="80" spans="1:1" ht="15.75" customHeight="1" x14ac:dyDescent="0.2">
      <c r="A80" t="s">
        <v>161</v>
      </c>
    </row>
    <row r="81" spans="1:1" ht="15.75" customHeight="1" x14ac:dyDescent="0.2">
      <c r="A81" t="s">
        <v>162</v>
      </c>
    </row>
    <row r="82" spans="1:1" ht="15.75" customHeight="1" x14ac:dyDescent="0.2">
      <c r="A82" t="s">
        <v>163</v>
      </c>
    </row>
    <row r="83" spans="1:1" ht="15.75" customHeight="1" x14ac:dyDescent="0.2">
      <c r="A83" t="s">
        <v>164</v>
      </c>
    </row>
    <row r="84" spans="1:1" ht="15.75" customHeight="1" x14ac:dyDescent="0.2">
      <c r="A84" t="s">
        <v>165</v>
      </c>
    </row>
    <row r="85" spans="1:1" ht="15.75" customHeight="1" x14ac:dyDescent="0.2">
      <c r="A85" t="s">
        <v>166</v>
      </c>
    </row>
    <row r="86" spans="1:1" ht="15.75" customHeight="1" x14ac:dyDescent="0.2">
      <c r="A86" t="s">
        <v>167</v>
      </c>
    </row>
    <row r="87" spans="1:1" ht="15.75" customHeight="1" x14ac:dyDescent="0.2">
      <c r="A87" t="s">
        <v>168</v>
      </c>
    </row>
    <row r="88" spans="1:1" ht="15.75" customHeight="1" x14ac:dyDescent="0.2">
      <c r="A88" t="s">
        <v>169</v>
      </c>
    </row>
    <row r="89" spans="1:1" ht="15.75" customHeight="1" x14ac:dyDescent="0.2">
      <c r="A89" t="s">
        <v>170</v>
      </c>
    </row>
    <row r="90" spans="1:1" ht="15.75" customHeight="1" x14ac:dyDescent="0.2">
      <c r="A90" t="s">
        <v>171</v>
      </c>
    </row>
    <row r="91" spans="1:1" ht="15.75" customHeight="1" x14ac:dyDescent="0.2">
      <c r="A91" t="s">
        <v>172</v>
      </c>
    </row>
    <row r="92" spans="1:1" ht="15.75" customHeight="1" x14ac:dyDescent="0.2">
      <c r="A92" t="s">
        <v>173</v>
      </c>
    </row>
    <row r="93" spans="1:1" ht="15.75" customHeight="1" x14ac:dyDescent="0.2">
      <c r="A93" t="s">
        <v>174</v>
      </c>
    </row>
    <row r="94" spans="1:1" ht="15.75" customHeight="1" x14ac:dyDescent="0.2">
      <c r="A94" t="s">
        <v>175</v>
      </c>
    </row>
    <row r="95" spans="1:1" ht="15.75" customHeight="1" x14ac:dyDescent="0.2">
      <c r="A95" t="s">
        <v>176</v>
      </c>
    </row>
    <row r="96" spans="1:1" ht="15.75" customHeight="1" x14ac:dyDescent="0.2">
      <c r="A96" t="s">
        <v>177</v>
      </c>
    </row>
    <row r="97" spans="1:1" ht="15.75" customHeight="1" x14ac:dyDescent="0.2">
      <c r="A97" t="s">
        <v>178</v>
      </c>
    </row>
    <row r="98" spans="1:1" ht="15.75" customHeight="1" x14ac:dyDescent="0.2">
      <c r="A98" t="s">
        <v>179</v>
      </c>
    </row>
    <row r="99" spans="1:1" ht="15.75" customHeight="1" x14ac:dyDescent="0.2">
      <c r="A99" t="s">
        <v>180</v>
      </c>
    </row>
    <row r="100" spans="1:1" ht="15.75" customHeight="1" x14ac:dyDescent="0.2">
      <c r="A100" t="s">
        <v>181</v>
      </c>
    </row>
    <row r="101" spans="1:1" ht="15.75" customHeight="1" x14ac:dyDescent="0.2">
      <c r="A101" t="s">
        <v>182</v>
      </c>
    </row>
    <row r="102" spans="1:1" ht="15.75" customHeight="1" x14ac:dyDescent="0.2">
      <c r="A102" t="s">
        <v>183</v>
      </c>
    </row>
    <row r="103" spans="1:1" ht="15.75" customHeight="1" x14ac:dyDescent="0.2">
      <c r="A103" t="s">
        <v>184</v>
      </c>
    </row>
    <row r="104" spans="1:1" ht="15.75" customHeight="1" x14ac:dyDescent="0.2">
      <c r="A104" t="s">
        <v>185</v>
      </c>
    </row>
    <row r="105" spans="1:1" ht="15.75" customHeight="1" x14ac:dyDescent="0.2">
      <c r="A105" t="s">
        <v>186</v>
      </c>
    </row>
    <row r="106" spans="1:1" ht="15.75" customHeight="1" x14ac:dyDescent="0.2">
      <c r="A106" t="s">
        <v>187</v>
      </c>
    </row>
    <row r="107" spans="1:1" ht="15.75" customHeight="1" x14ac:dyDescent="0.2">
      <c r="A107" t="s">
        <v>188</v>
      </c>
    </row>
  </sheetData>
  <sheetProtection algorithmName="SHA-512" hashValue="NEbDDKwXOVpw1eplFx03UmlBtMYYUQnJ/BgFW+GZM+k4tYDCRraDeusT1r7WZS1MneGdcqIFKQHQBWPR3bd0Jg==" saltValue="FmHp7v6iTPU8pVYc6Dot+Q==" spinCount="100000"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Notice</vt:lpstr>
      <vt:lpstr>Grille</vt:lpstr>
      <vt:lpstr>Descripteurs</vt:lpstr>
      <vt:lpstr>Liste sujets</vt:lpstr>
      <vt:lpstr>Grille!Zone_d_impression</vt:lpstr>
    </vt:vector>
  </TitlesOfParts>
  <Manager>Cayol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Grille EP 2I2D</dc:title>
  <dc:subject/>
  <dc:creator>Albier &amp; Bouyé &amp; Golanski</dc:creator>
  <cp:keywords/>
  <dc:description>Grille EP 2I2D du 19/02/2026</dc:description>
  <cp:lastModifiedBy>Stephane Bouye</cp:lastModifiedBy>
  <cp:revision>0</cp:revision>
  <dcterms:created xsi:type="dcterms:W3CDTF">2014-01-22T08:41:46Z</dcterms:created>
  <dcterms:modified xsi:type="dcterms:W3CDTF">2026-03-23T16:30:27Z</dcterms:modified>
  <cp:category/>
  <dc:language>en-US</dc:language>
</cp:coreProperties>
</file>